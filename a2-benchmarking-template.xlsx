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heckCompatibility="1" defaultThemeVersion="202300"/>
  <mc:AlternateContent xmlns:mc="http://schemas.openxmlformats.org/markup-compatibility/2006">
    <mc:Choice Requires="x15">
      <x15ac:absPath xmlns:x15ac="http://schemas.microsoft.com/office/spreadsheetml/2010/11/ac" url="/Users/kingtin/Desktop/a2/"/>
    </mc:Choice>
  </mc:AlternateContent>
  <xr:revisionPtr revIDLastSave="0" documentId="13_ncr:1_{0184ED99-1FD9-A747-825E-211E2C2D8452}" xr6:coauthVersionLast="47" xr6:coauthVersionMax="47" xr10:uidLastSave="{00000000-0000-0000-0000-000000000000}"/>
  <bookViews>
    <workbookView xWindow="360" yWindow="740" windowWidth="29040" windowHeight="17120" xr2:uid="{8548C2D4-2AF4-1B47-A819-64F025C7FE3E}"/>
  </bookViews>
  <sheets>
    <sheet name="Rowwise-MPI" sheetId="4" r:id="rId1"/>
    <sheet name="Checkerboard-MPI" sheetId="1" r:id="rId2"/>
    <sheet name="CUDA" sheetId="5" r:id="rId3"/>
  </sheets>
  <definedNames>
    <definedName name="__xlchart.v1.0" hidden="1">CUDA!$A$3:$A$8</definedName>
    <definedName name="__xlchart.v1.1" hidden="1">CUDA!$B$2</definedName>
    <definedName name="__xlchart.v1.2" hidden="1">CUDA!$B$3:$B$8</definedName>
    <definedName name="__xlchart.v1.3" hidden="1">CUDA!$A$3:$A$8</definedName>
    <definedName name="__xlchart.v1.4" hidden="1">CUDA!$B$2</definedName>
    <definedName name="__xlchart.v1.5" hidden="1">CUDA!$B$3:$B$8</definedName>
    <definedName name="__xlchart.v1.6" hidden="1">CUDA!$A$3:$A$8</definedName>
    <definedName name="__xlchart.v1.7" hidden="1">CUDA!$B$2</definedName>
    <definedName name="__xlchart.v1.8" hidden="1">CUDA!$B$3:$B$8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5" l="1"/>
  <c r="B13" i="5"/>
  <c r="B14" i="5"/>
  <c r="B15" i="5"/>
  <c r="B16" i="5"/>
  <c r="B17" i="5"/>
  <c r="G31" i="4"/>
  <c r="F31" i="4"/>
  <c r="F25" i="4"/>
  <c r="E25" i="4"/>
  <c r="F21" i="4"/>
  <c r="G17" i="4"/>
  <c r="G35" i="4" s="1"/>
  <c r="F17" i="4"/>
  <c r="F35" i="4" s="1"/>
  <c r="E17" i="4"/>
  <c r="E26" i="4" s="1"/>
  <c r="D17" i="4"/>
  <c r="D26" i="4" s="1"/>
  <c r="C17" i="4"/>
  <c r="C26" i="4" s="1"/>
  <c r="B17" i="4"/>
  <c r="B26" i="4" s="1"/>
  <c r="G16" i="4"/>
  <c r="G25" i="4" s="1"/>
  <c r="F16" i="4"/>
  <c r="F34" i="4" s="1"/>
  <c r="E16" i="4"/>
  <c r="E34" i="4" s="1"/>
  <c r="D16" i="4"/>
  <c r="D34" i="4" s="1"/>
  <c r="C16" i="4"/>
  <c r="C25" i="4" s="1"/>
  <c r="B16" i="4"/>
  <c r="B25" i="4" s="1"/>
  <c r="G15" i="4"/>
  <c r="G33" i="4" s="1"/>
  <c r="F15" i="4"/>
  <c r="F33" i="4" s="1"/>
  <c r="E15" i="4"/>
  <c r="E33" i="4" s="1"/>
  <c r="D15" i="4"/>
  <c r="D33" i="4" s="1"/>
  <c r="C15" i="4"/>
  <c r="C24" i="4" s="1"/>
  <c r="B15" i="4"/>
  <c r="B24" i="4" s="1"/>
  <c r="G14" i="4"/>
  <c r="G23" i="4" s="1"/>
  <c r="F14" i="4"/>
  <c r="F32" i="4" s="1"/>
  <c r="E14" i="4"/>
  <c r="E32" i="4" s="1"/>
  <c r="D14" i="4"/>
  <c r="D32" i="4" s="1"/>
  <c r="C14" i="4"/>
  <c r="C23" i="4" s="1"/>
  <c r="B14" i="4"/>
  <c r="B23" i="4" s="1"/>
  <c r="G13" i="4"/>
  <c r="G22" i="4" s="1"/>
  <c r="F13" i="4"/>
  <c r="F22" i="4" s="1"/>
  <c r="E13" i="4"/>
  <c r="E22" i="4" s="1"/>
  <c r="D13" i="4"/>
  <c r="D22" i="4" s="1"/>
  <c r="C13" i="4"/>
  <c r="C31" i="4" s="1"/>
  <c r="B13" i="4"/>
  <c r="B22" i="4" s="1"/>
  <c r="G12" i="4"/>
  <c r="G30" i="4" s="1"/>
  <c r="F12" i="4"/>
  <c r="F30" i="4" s="1"/>
  <c r="E12" i="4"/>
  <c r="E21" i="4" s="1"/>
  <c r="D12" i="4"/>
  <c r="D21" i="4" s="1"/>
  <c r="C12" i="4"/>
  <c r="C21" i="4" s="1"/>
  <c r="B12" i="4"/>
  <c r="B21" i="4" s="1"/>
  <c r="F17" i="1"/>
  <c r="F26" i="1" s="1"/>
  <c r="G17" i="1"/>
  <c r="G35" i="1" s="1"/>
  <c r="C17" i="1"/>
  <c r="C26" i="1" s="1"/>
  <c r="D17" i="1"/>
  <c r="D35" i="1" s="1"/>
  <c r="E17" i="1"/>
  <c r="E35" i="1" s="1"/>
  <c r="B17" i="1"/>
  <c r="B26" i="1" s="1"/>
  <c r="C16" i="1"/>
  <c r="C25" i="1" s="1"/>
  <c r="D16" i="1"/>
  <c r="D25" i="1" s="1"/>
  <c r="E16" i="1"/>
  <c r="E34" i="1" s="1"/>
  <c r="F16" i="1"/>
  <c r="F34" i="1" s="1"/>
  <c r="G16" i="1"/>
  <c r="G25" i="1" s="1"/>
  <c r="B16" i="1"/>
  <c r="B25" i="1" s="1"/>
  <c r="B13" i="1"/>
  <c r="B22" i="1" s="1"/>
  <c r="C12" i="1"/>
  <c r="C30" i="1" s="1"/>
  <c r="G12" i="1"/>
  <c r="G30" i="1" s="1"/>
  <c r="G13" i="1"/>
  <c r="G31" i="1" s="1"/>
  <c r="G14" i="1"/>
  <c r="G32" i="1" s="1"/>
  <c r="G15" i="1"/>
  <c r="G24" i="1" s="1"/>
  <c r="D12" i="1"/>
  <c r="D21" i="1" s="1"/>
  <c r="E12" i="1"/>
  <c r="E30" i="1" s="1"/>
  <c r="F12" i="1"/>
  <c r="F21" i="1" s="1"/>
  <c r="D13" i="1"/>
  <c r="D31" i="1" s="1"/>
  <c r="E13" i="1"/>
  <c r="E31" i="1" s="1"/>
  <c r="F13" i="1"/>
  <c r="F31" i="1" s="1"/>
  <c r="D14" i="1"/>
  <c r="D32" i="1" s="1"/>
  <c r="E14" i="1"/>
  <c r="E23" i="1" s="1"/>
  <c r="F14" i="1"/>
  <c r="F23" i="1" s="1"/>
  <c r="D15" i="1"/>
  <c r="D33" i="1" s="1"/>
  <c r="E15" i="1"/>
  <c r="E33" i="1" s="1"/>
  <c r="F15" i="1"/>
  <c r="F24" i="1" s="1"/>
  <c r="C13" i="1"/>
  <c r="C31" i="1" s="1"/>
  <c r="C14" i="1"/>
  <c r="C23" i="1" s="1"/>
  <c r="C15" i="1"/>
  <c r="C33" i="1" s="1"/>
  <c r="B15" i="1"/>
  <c r="B24" i="1" s="1"/>
  <c r="B14" i="1"/>
  <c r="B23" i="1" s="1"/>
  <c r="B12" i="1"/>
  <c r="B21" i="1" s="1"/>
  <c r="D24" i="4" l="1"/>
  <c r="E30" i="4"/>
  <c r="G21" i="4"/>
  <c r="E24" i="4"/>
  <c r="E31" i="4"/>
  <c r="G34" i="4"/>
  <c r="C32" i="4"/>
  <c r="G26" i="4"/>
  <c r="C33" i="4"/>
  <c r="C30" i="4"/>
  <c r="D30" i="4"/>
  <c r="D25" i="4"/>
  <c r="F26" i="4"/>
  <c r="D31" i="4"/>
  <c r="G32" i="4"/>
  <c r="C35" i="4"/>
  <c r="D23" i="4"/>
  <c r="D35" i="4"/>
  <c r="C22" i="4"/>
  <c r="E23" i="4"/>
  <c r="G24" i="4"/>
  <c r="E35" i="4"/>
  <c r="F23" i="4"/>
  <c r="C34" i="4"/>
  <c r="F24" i="4"/>
  <c r="D26" i="1"/>
  <c r="E26" i="1"/>
  <c r="G26" i="1"/>
  <c r="F35" i="1"/>
  <c r="C35" i="1"/>
  <c r="G23" i="1"/>
  <c r="G22" i="1"/>
  <c r="G21" i="1"/>
  <c r="G34" i="1"/>
  <c r="G33" i="1"/>
  <c r="D23" i="1"/>
  <c r="E32" i="1"/>
  <c r="D34" i="1"/>
  <c r="F22" i="1"/>
  <c r="D30" i="1"/>
  <c r="E22" i="1"/>
  <c r="F33" i="1"/>
  <c r="F30" i="1"/>
  <c r="E24" i="1"/>
  <c r="F25" i="1"/>
  <c r="C32" i="1"/>
  <c r="C21" i="1"/>
  <c r="C22" i="1"/>
  <c r="D24" i="1"/>
  <c r="D22" i="1"/>
  <c r="E21" i="1"/>
  <c r="F32" i="1"/>
  <c r="C24" i="1"/>
  <c r="C34" i="1"/>
  <c r="E25" i="1"/>
</calcChain>
</file>

<file path=xl/sharedStrings.xml><?xml version="1.0" encoding="utf-8"?>
<sst xmlns="http://schemas.openxmlformats.org/spreadsheetml/2006/main" count="23" uniqueCount="8">
  <si>
    <t>Execution time (in seconds)</t>
  </si>
  <si>
    <t>Karp-Flatt Metric</t>
  </si>
  <si>
    <t>n</t>
  </si>
  <si>
    <t>Efficiency</t>
  </si>
  <si>
    <t>Speedup</t>
  </si>
  <si>
    <t>n                    p</t>
  </si>
  <si>
    <t>Sequential on CPU</t>
  </si>
  <si>
    <t>CUDA on GPU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</si>
</sst>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auto="1"/>
      </diagonal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thin">
        <color auto="1"/>
      </diagonal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13" xfId="0" applyNumberForma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2" borderId="14" xfId="0" applyNumberFormat="1" applyFill="1" applyBorder="1" applyAlignment="1">
      <alignment horizontal="center"/>
    </xf>
    <xf numFmtId="164" fontId="0" fillId="2" borderId="15" xfId="0" applyNumberFormat="1" applyFill="1" applyBorder="1" applyAlignment="1">
      <alignment horizont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1" fillId="0" borderId="29" xfId="0" applyFont="1" applyBorder="1" applyAlignment="1">
      <alignment horizontal="left"/>
    </xf>
    <xf numFmtId="165" fontId="0" fillId="0" borderId="1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1" fillId="5" borderId="31" xfId="0" applyFont="1" applyFill="1" applyBorder="1" applyAlignment="1">
      <alignment horizontal="center"/>
    </xf>
    <xf numFmtId="2" fontId="0" fillId="5" borderId="30" xfId="0" applyNumberFormat="1" applyFill="1" applyBorder="1" applyAlignment="1">
      <alignment horizontal="center"/>
    </xf>
    <xf numFmtId="164" fontId="0" fillId="5" borderId="27" xfId="0" applyNumberFormat="1" applyFill="1" applyBorder="1" applyAlignment="1">
      <alignment horizontal="center"/>
    </xf>
    <xf numFmtId="165" fontId="0" fillId="5" borderId="27" xfId="0" applyNumberFormat="1" applyFill="1" applyBorder="1" applyAlignment="1">
      <alignment horizontal="center"/>
    </xf>
    <xf numFmtId="165" fontId="0" fillId="5" borderId="28" xfId="0" applyNumberForma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164" fontId="0" fillId="2" borderId="33" xfId="0" applyNumberFormat="1" applyFill="1" applyBorder="1" applyAlignment="1">
      <alignment horizontal="center"/>
    </xf>
    <xf numFmtId="164" fontId="0" fillId="2" borderId="34" xfId="0" applyNumberFormat="1" applyFill="1" applyBorder="1" applyAlignment="1">
      <alignment horizontal="center"/>
    </xf>
    <xf numFmtId="164" fontId="0" fillId="2" borderId="35" xfId="0" applyNumberFormat="1" applyFill="1" applyBorder="1" applyAlignment="1">
      <alignment horizontal="center"/>
    </xf>
    <xf numFmtId="164" fontId="0" fillId="2" borderId="10" xfId="0" applyNumberFormat="1" applyFill="1" applyBorder="1" applyAlignment="1">
      <alignment horizontal="center"/>
    </xf>
    <xf numFmtId="164" fontId="0" fillId="2" borderId="11" xfId="0" applyNumberFormat="1" applyFill="1" applyBorder="1" applyAlignment="1">
      <alignment horizontal="center"/>
    </xf>
    <xf numFmtId="164" fontId="0" fillId="2" borderId="1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Execution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'Rowwise-MPI'!$A$3</c:f>
              <c:strCache>
                <c:ptCount val="1"/>
                <c:pt idx="0">
                  <c:v>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'Rowwise-MPI'!$B$2:$G$2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'Rowwise-MPI'!$B$3:$G$3</c:f>
              <c:numCache>
                <c:formatCode>0.000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C1-3D4A-9A5F-23B4C439476F}"/>
            </c:ext>
          </c:extLst>
        </c:ser>
        <c:ser>
          <c:idx val="1"/>
          <c:order val="1"/>
          <c:tx>
            <c:strRef>
              <c:f>'Rowwise-MPI'!$A$4</c:f>
              <c:strCache>
                <c:ptCount val="1"/>
                <c:pt idx="0">
                  <c:v>480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'Rowwise-MPI'!$B$2:$G$2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'Rowwise-MPI'!$B$4:$G$4</c:f>
              <c:numCache>
                <c:formatCode>0.000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C1-3D4A-9A5F-23B4C439476F}"/>
            </c:ext>
          </c:extLst>
        </c:ser>
        <c:ser>
          <c:idx val="2"/>
          <c:order val="2"/>
          <c:tx>
            <c:strRef>
              <c:f>'Rowwise-MPI'!$A$5</c:f>
              <c:strCache>
                <c:ptCount val="1"/>
                <c:pt idx="0">
                  <c:v>1500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'Rowwise-MPI'!$B$2:$G$2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'Rowwise-MPI'!$B$5:$G$5</c:f>
              <c:numCache>
                <c:formatCode>0.000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C1-3D4A-9A5F-23B4C439476F}"/>
            </c:ext>
          </c:extLst>
        </c:ser>
        <c:ser>
          <c:idx val="3"/>
          <c:order val="3"/>
          <c:tx>
            <c:strRef>
              <c:f>'Rowwise-MPI'!$A$6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'Rowwise-MPI'!$B$2:$G$2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'Rowwise-MPI'!$B$6:$G$6</c:f>
              <c:numCache>
                <c:formatCode>0.000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C1-3D4A-9A5F-23B4C439476F}"/>
            </c:ext>
          </c:extLst>
        </c:ser>
        <c:ser>
          <c:idx val="4"/>
          <c:order val="4"/>
          <c:tx>
            <c:strRef>
              <c:f>'Rowwise-MPI'!$A$7</c:f>
              <c:strCache>
                <c:ptCount val="1"/>
                <c:pt idx="0">
                  <c:v>4020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'Rowwise-MPI'!$B$2:$G$2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'Rowwise-MPI'!$B$7:$G$7</c:f>
              <c:numCache>
                <c:formatCode>0.000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C1-3D4A-9A5F-23B4C439476F}"/>
            </c:ext>
          </c:extLst>
        </c:ser>
        <c:ser>
          <c:idx val="5"/>
          <c:order val="5"/>
          <c:tx>
            <c:strRef>
              <c:f>'Rowwise-MPI'!$A$8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'Rowwise-MPI'!$B$2:$G$2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'Rowwise-MPI'!$B$8:$G$8</c:f>
              <c:numCache>
                <c:formatCode>0.000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C1-3D4A-9A5F-23B4C4394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686608"/>
        <c:axId val="626835952"/>
      </c:scatterChart>
      <c:valAx>
        <c:axId val="62668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processors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835952"/>
        <c:crosses val="autoZero"/>
        <c:crossBetween val="midCat"/>
      </c:valAx>
      <c:valAx>
        <c:axId val="62683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Execution</a:t>
                </a:r>
                <a:r>
                  <a:rPr lang="en-GB" baseline="0"/>
                  <a:t> time (s)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686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Relative</a:t>
            </a:r>
            <a:r>
              <a:rPr lang="en-GB" b="1" baseline="0"/>
              <a:t> Speedup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'Rowwise-MPI'!$A$12</c:f>
              <c:strCache>
                <c:ptCount val="1"/>
                <c:pt idx="0">
                  <c:v>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'Rowwise-MPI'!$B$11:$G$11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'Rowwise-MPI'!$B$12:$G$12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DA-9142-A3BB-BAD8C94FB62B}"/>
            </c:ext>
          </c:extLst>
        </c:ser>
        <c:ser>
          <c:idx val="1"/>
          <c:order val="1"/>
          <c:tx>
            <c:strRef>
              <c:f>'Rowwise-MPI'!$A$13</c:f>
              <c:strCache>
                <c:ptCount val="1"/>
                <c:pt idx="0">
                  <c:v>480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'Rowwise-MPI'!$B$11:$G$11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'Rowwise-MPI'!$B$13:$G$13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DA-9142-A3BB-BAD8C94FB62B}"/>
            </c:ext>
          </c:extLst>
        </c:ser>
        <c:ser>
          <c:idx val="2"/>
          <c:order val="2"/>
          <c:tx>
            <c:strRef>
              <c:f>'Rowwise-MPI'!$A$14</c:f>
              <c:strCache>
                <c:ptCount val="1"/>
                <c:pt idx="0">
                  <c:v>1500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'Rowwise-MPI'!$B$11:$G$11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'Rowwise-MPI'!$B$14:$G$14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DA-9142-A3BB-BAD8C94FB62B}"/>
            </c:ext>
          </c:extLst>
        </c:ser>
        <c:ser>
          <c:idx val="3"/>
          <c:order val="3"/>
          <c:tx>
            <c:strRef>
              <c:f>'Rowwise-MPI'!$A$15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'Rowwise-MPI'!$B$11:$G$11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'Rowwise-MPI'!$B$15:$G$15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DA-9142-A3BB-BAD8C94FB62B}"/>
            </c:ext>
          </c:extLst>
        </c:ser>
        <c:ser>
          <c:idx val="4"/>
          <c:order val="4"/>
          <c:tx>
            <c:strRef>
              <c:f>'Rowwise-MPI'!$A$16</c:f>
              <c:strCache>
                <c:ptCount val="1"/>
                <c:pt idx="0">
                  <c:v>4020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'Rowwise-MPI'!$B$11:$G$11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'Rowwise-MPI'!$B$16:$G$16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5DA-9142-A3BB-BAD8C94FB62B}"/>
            </c:ext>
          </c:extLst>
        </c:ser>
        <c:ser>
          <c:idx val="5"/>
          <c:order val="5"/>
          <c:tx>
            <c:strRef>
              <c:f>'Rowwise-MPI'!$A$17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'Rowwise-MPI'!$B$11:$G$11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'Rowwise-MPI'!$B$17:$G$17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5DA-9142-A3BB-BAD8C94FB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066448"/>
        <c:axId val="252593168"/>
      </c:scatterChart>
      <c:valAx>
        <c:axId val="25206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processors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593168"/>
        <c:crosses val="autoZero"/>
        <c:crossBetween val="midCat"/>
      </c:valAx>
      <c:valAx>
        <c:axId val="25259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6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Relative</a:t>
            </a:r>
            <a:r>
              <a:rPr lang="en-GB" b="1" baseline="0"/>
              <a:t> Efficiency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'Rowwise-MPI'!$A$21</c:f>
              <c:strCache>
                <c:ptCount val="1"/>
                <c:pt idx="0">
                  <c:v>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'Rowwise-MPI'!$B$20:$G$20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'Rowwise-MPI'!$B$21:$G$21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46-5746-9BD9-E9BA8811BABB}"/>
            </c:ext>
          </c:extLst>
        </c:ser>
        <c:ser>
          <c:idx val="1"/>
          <c:order val="1"/>
          <c:tx>
            <c:strRef>
              <c:f>'Rowwise-MPI'!$A$22</c:f>
              <c:strCache>
                <c:ptCount val="1"/>
                <c:pt idx="0">
                  <c:v>480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'Rowwise-MPI'!$B$20:$G$20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'Rowwise-MPI'!$B$22:$G$22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46-5746-9BD9-E9BA8811BABB}"/>
            </c:ext>
          </c:extLst>
        </c:ser>
        <c:ser>
          <c:idx val="2"/>
          <c:order val="2"/>
          <c:tx>
            <c:strRef>
              <c:f>'Rowwise-MPI'!$A$23</c:f>
              <c:strCache>
                <c:ptCount val="1"/>
                <c:pt idx="0">
                  <c:v>1500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'Rowwise-MPI'!$B$20:$G$20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'Rowwise-MPI'!$B$23:$G$23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46-5746-9BD9-E9BA8811BABB}"/>
            </c:ext>
          </c:extLst>
        </c:ser>
        <c:ser>
          <c:idx val="3"/>
          <c:order val="3"/>
          <c:tx>
            <c:strRef>
              <c:f>'Rowwise-MPI'!$A$24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'Rowwise-MPI'!$B$20:$G$20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'Rowwise-MPI'!$B$24:$G$24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46-5746-9BD9-E9BA8811BABB}"/>
            </c:ext>
          </c:extLst>
        </c:ser>
        <c:ser>
          <c:idx val="4"/>
          <c:order val="4"/>
          <c:tx>
            <c:strRef>
              <c:f>'Rowwise-MPI'!$A$25</c:f>
              <c:strCache>
                <c:ptCount val="1"/>
                <c:pt idx="0">
                  <c:v>4020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'Rowwise-MPI'!$B$20:$G$20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'Rowwise-MPI'!$B$25:$G$25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546-5746-9BD9-E9BA8811BABB}"/>
            </c:ext>
          </c:extLst>
        </c:ser>
        <c:ser>
          <c:idx val="5"/>
          <c:order val="5"/>
          <c:tx>
            <c:strRef>
              <c:f>'Rowwise-MPI'!$A$26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'Rowwise-MPI'!$B$20:$G$20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'Rowwise-MPI'!$B$26:$G$26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546-5746-9BD9-E9BA8811B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066448"/>
        <c:axId val="252593168"/>
      </c:scatterChart>
      <c:valAx>
        <c:axId val="25206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processors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593168"/>
        <c:crosses val="autoZero"/>
        <c:crossBetween val="midCat"/>
      </c:valAx>
      <c:valAx>
        <c:axId val="25259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6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Karp-Flatt Metric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'Rowwise-MPI'!$A$30</c:f>
              <c:strCache>
                <c:ptCount val="1"/>
                <c:pt idx="0">
                  <c:v>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'Rowwise-MPI'!$C$29:$G$29</c:f>
              <c:numCache>
                <c:formatCode>General</c:formatCode>
                <c:ptCount val="5"/>
                <c:pt idx="0">
                  <c:v>4</c:v>
                </c:pt>
                <c:pt idx="1">
                  <c:v>9</c:v>
                </c:pt>
                <c:pt idx="2">
                  <c:v>16</c:v>
                </c:pt>
                <c:pt idx="3">
                  <c:v>25</c:v>
                </c:pt>
                <c:pt idx="4">
                  <c:v>36</c:v>
                </c:pt>
              </c:numCache>
            </c:numRef>
          </c:xVal>
          <c:yVal>
            <c:numRef>
              <c:f>'Rowwise-MPI'!$C$30:$G$30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69-E342-939C-E567CAF19DA6}"/>
            </c:ext>
          </c:extLst>
        </c:ser>
        <c:ser>
          <c:idx val="1"/>
          <c:order val="1"/>
          <c:tx>
            <c:strRef>
              <c:f>'Rowwise-MPI'!$A$31</c:f>
              <c:strCache>
                <c:ptCount val="1"/>
                <c:pt idx="0">
                  <c:v>480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'Rowwise-MPI'!$C$29:$G$29</c:f>
              <c:numCache>
                <c:formatCode>General</c:formatCode>
                <c:ptCount val="5"/>
                <c:pt idx="0">
                  <c:v>4</c:v>
                </c:pt>
                <c:pt idx="1">
                  <c:v>9</c:v>
                </c:pt>
                <c:pt idx="2">
                  <c:v>16</c:v>
                </c:pt>
                <c:pt idx="3">
                  <c:v>25</c:v>
                </c:pt>
                <c:pt idx="4">
                  <c:v>36</c:v>
                </c:pt>
              </c:numCache>
            </c:numRef>
          </c:xVal>
          <c:yVal>
            <c:numRef>
              <c:f>'Rowwise-MPI'!$C$31:$G$31</c:f>
              <c:numCache>
                <c:formatCode>0.000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69-E342-939C-E567CAF19DA6}"/>
            </c:ext>
          </c:extLst>
        </c:ser>
        <c:ser>
          <c:idx val="2"/>
          <c:order val="2"/>
          <c:tx>
            <c:strRef>
              <c:f>'Rowwise-MPI'!$A$32</c:f>
              <c:strCache>
                <c:ptCount val="1"/>
                <c:pt idx="0">
                  <c:v>1500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'Rowwise-MPI'!$C$29:$G$29</c:f>
              <c:numCache>
                <c:formatCode>General</c:formatCode>
                <c:ptCount val="5"/>
                <c:pt idx="0">
                  <c:v>4</c:v>
                </c:pt>
                <c:pt idx="1">
                  <c:v>9</c:v>
                </c:pt>
                <c:pt idx="2">
                  <c:v>16</c:v>
                </c:pt>
                <c:pt idx="3">
                  <c:v>25</c:v>
                </c:pt>
                <c:pt idx="4">
                  <c:v>36</c:v>
                </c:pt>
              </c:numCache>
            </c:numRef>
          </c:xVal>
          <c:yVal>
            <c:numRef>
              <c:f>'Rowwise-MPI'!$C$32:$G$32</c:f>
              <c:numCache>
                <c:formatCode>0.000</c:formatCode>
                <c:ptCount val="5"/>
                <c:pt idx="0">
                  <c:v>0</c:v>
                </c:pt>
                <c:pt idx="1">
                  <c:v>0</c:v>
                </c:pt>
                <c:pt idx="2" formatCode="0.0000">
                  <c:v>0</c:v>
                </c:pt>
                <c:pt idx="3" formatCode="0.0000">
                  <c:v>0</c:v>
                </c:pt>
                <c:pt idx="4" formatCode="0.0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69-E342-939C-E567CAF19DA6}"/>
            </c:ext>
          </c:extLst>
        </c:ser>
        <c:ser>
          <c:idx val="3"/>
          <c:order val="3"/>
          <c:tx>
            <c:strRef>
              <c:f>'Rowwise-MPI'!$A$33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'Rowwise-MPI'!$C$29:$G$29</c:f>
              <c:numCache>
                <c:formatCode>General</c:formatCode>
                <c:ptCount val="5"/>
                <c:pt idx="0">
                  <c:v>4</c:v>
                </c:pt>
                <c:pt idx="1">
                  <c:v>9</c:v>
                </c:pt>
                <c:pt idx="2">
                  <c:v>16</c:v>
                </c:pt>
                <c:pt idx="3">
                  <c:v>25</c:v>
                </c:pt>
                <c:pt idx="4">
                  <c:v>36</c:v>
                </c:pt>
              </c:numCache>
            </c:numRef>
          </c:xVal>
          <c:yVal>
            <c:numRef>
              <c:f>'Rowwise-MPI'!$C$33:$G$33</c:f>
              <c:numCache>
                <c:formatCode>0.0000</c:formatCode>
                <c:ptCount val="5"/>
                <c:pt idx="0" formatCode="0.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69-E342-939C-E567CAF19DA6}"/>
            </c:ext>
          </c:extLst>
        </c:ser>
        <c:ser>
          <c:idx val="4"/>
          <c:order val="4"/>
          <c:tx>
            <c:strRef>
              <c:f>'Rowwise-MPI'!$A$34</c:f>
              <c:strCache>
                <c:ptCount val="1"/>
                <c:pt idx="0">
                  <c:v>4020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'Rowwise-MPI'!$C$29:$G$29</c:f>
              <c:numCache>
                <c:formatCode>General</c:formatCode>
                <c:ptCount val="5"/>
                <c:pt idx="0">
                  <c:v>4</c:v>
                </c:pt>
                <c:pt idx="1">
                  <c:v>9</c:v>
                </c:pt>
                <c:pt idx="2">
                  <c:v>16</c:v>
                </c:pt>
                <c:pt idx="3">
                  <c:v>25</c:v>
                </c:pt>
                <c:pt idx="4">
                  <c:v>36</c:v>
                </c:pt>
              </c:numCache>
            </c:numRef>
          </c:xVal>
          <c:yVal>
            <c:numRef>
              <c:f>'Rowwise-MPI'!$C$34:$G$34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69-E342-939C-E567CAF19DA6}"/>
            </c:ext>
          </c:extLst>
        </c:ser>
        <c:ser>
          <c:idx val="5"/>
          <c:order val="5"/>
          <c:tx>
            <c:strRef>
              <c:f>'Rowwise-MPI'!$A$35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'Rowwise-MPI'!$C$29:$G$29</c:f>
              <c:numCache>
                <c:formatCode>General</c:formatCode>
                <c:ptCount val="5"/>
                <c:pt idx="0">
                  <c:v>4</c:v>
                </c:pt>
                <c:pt idx="1">
                  <c:v>9</c:v>
                </c:pt>
                <c:pt idx="2">
                  <c:v>16</c:v>
                </c:pt>
                <c:pt idx="3">
                  <c:v>25</c:v>
                </c:pt>
                <c:pt idx="4">
                  <c:v>36</c:v>
                </c:pt>
              </c:numCache>
            </c:numRef>
          </c:xVal>
          <c:yVal>
            <c:numRef>
              <c:f>'Rowwise-MPI'!$C$35:$G$35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69-E342-939C-E567CAF19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066448"/>
        <c:axId val="252593168"/>
      </c:scatterChart>
      <c:valAx>
        <c:axId val="25206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processors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593168"/>
        <c:crosses val="autoZero"/>
        <c:crossBetween val="midCat"/>
      </c:valAx>
      <c:valAx>
        <c:axId val="25259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e(n, 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6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Execution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'Checkerboard-MPI'!$A$3</c:f>
              <c:strCache>
                <c:ptCount val="1"/>
                <c:pt idx="0">
                  <c:v>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'Checkerboard-MPI'!$B$2:$G$2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'Checkerboard-MPI'!$B$3:$G$3</c:f>
              <c:numCache>
                <c:formatCode>0.000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64-B043-BE92-F73CA9219E79}"/>
            </c:ext>
          </c:extLst>
        </c:ser>
        <c:ser>
          <c:idx val="1"/>
          <c:order val="1"/>
          <c:tx>
            <c:strRef>
              <c:f>'Checkerboard-MPI'!$A$4</c:f>
              <c:strCache>
                <c:ptCount val="1"/>
                <c:pt idx="0">
                  <c:v>480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'Checkerboard-MPI'!$B$2:$G$2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'Checkerboard-MPI'!$B$4:$G$4</c:f>
              <c:numCache>
                <c:formatCode>0.000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64-B043-BE92-F73CA9219E79}"/>
            </c:ext>
          </c:extLst>
        </c:ser>
        <c:ser>
          <c:idx val="2"/>
          <c:order val="2"/>
          <c:tx>
            <c:strRef>
              <c:f>'Checkerboard-MPI'!$A$5</c:f>
              <c:strCache>
                <c:ptCount val="1"/>
                <c:pt idx="0">
                  <c:v>1500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'Checkerboard-MPI'!$B$2:$G$2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'Checkerboard-MPI'!$B$5:$G$5</c:f>
              <c:numCache>
                <c:formatCode>0.000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64-B043-BE92-F73CA9219E79}"/>
            </c:ext>
          </c:extLst>
        </c:ser>
        <c:ser>
          <c:idx val="3"/>
          <c:order val="3"/>
          <c:tx>
            <c:strRef>
              <c:f>'Checkerboard-MPI'!$A$6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'Checkerboard-MPI'!$B$2:$G$2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'Checkerboard-MPI'!$B$6:$G$6</c:f>
              <c:numCache>
                <c:formatCode>0.000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64-B043-BE92-F73CA9219E79}"/>
            </c:ext>
          </c:extLst>
        </c:ser>
        <c:ser>
          <c:idx val="4"/>
          <c:order val="4"/>
          <c:tx>
            <c:strRef>
              <c:f>'Checkerboard-MPI'!$A$7</c:f>
              <c:strCache>
                <c:ptCount val="1"/>
                <c:pt idx="0">
                  <c:v>4020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'Checkerboard-MPI'!$B$2:$G$2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'Checkerboard-MPI'!$B$7:$G$7</c:f>
              <c:numCache>
                <c:formatCode>0.000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64-B043-BE92-F73CA9219E79}"/>
            </c:ext>
          </c:extLst>
        </c:ser>
        <c:ser>
          <c:idx val="5"/>
          <c:order val="5"/>
          <c:tx>
            <c:strRef>
              <c:f>'Checkerboard-MPI'!$A$8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'Checkerboard-MPI'!$B$2:$G$2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'Checkerboard-MPI'!$B$8:$G$8</c:f>
              <c:numCache>
                <c:formatCode>0.000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64-B043-BE92-F73CA9219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686608"/>
        <c:axId val="626835952"/>
      </c:scatterChart>
      <c:valAx>
        <c:axId val="62668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processors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835952"/>
        <c:crosses val="autoZero"/>
        <c:crossBetween val="midCat"/>
      </c:valAx>
      <c:valAx>
        <c:axId val="62683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Execution</a:t>
                </a:r>
                <a:r>
                  <a:rPr lang="en-GB" baseline="0"/>
                  <a:t> time (s)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686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Relative</a:t>
            </a:r>
            <a:r>
              <a:rPr lang="en-GB" b="1" baseline="0"/>
              <a:t> Speedup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'Checkerboard-MPI'!$A$12</c:f>
              <c:strCache>
                <c:ptCount val="1"/>
                <c:pt idx="0">
                  <c:v>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'Checkerboard-MPI'!$B$11:$G$11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'Checkerboard-MPI'!$B$12:$G$12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87-7541-891F-02718C74951F}"/>
            </c:ext>
          </c:extLst>
        </c:ser>
        <c:ser>
          <c:idx val="1"/>
          <c:order val="1"/>
          <c:tx>
            <c:strRef>
              <c:f>'Checkerboard-MPI'!$A$13</c:f>
              <c:strCache>
                <c:ptCount val="1"/>
                <c:pt idx="0">
                  <c:v>480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'Checkerboard-MPI'!$B$11:$G$11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'Checkerboard-MPI'!$B$13:$G$13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87-7541-891F-02718C74951F}"/>
            </c:ext>
          </c:extLst>
        </c:ser>
        <c:ser>
          <c:idx val="2"/>
          <c:order val="2"/>
          <c:tx>
            <c:strRef>
              <c:f>'Checkerboard-MPI'!$A$14</c:f>
              <c:strCache>
                <c:ptCount val="1"/>
                <c:pt idx="0">
                  <c:v>1500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'Checkerboard-MPI'!$B$11:$G$11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'Checkerboard-MPI'!$B$14:$G$14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87-7541-891F-02718C74951F}"/>
            </c:ext>
          </c:extLst>
        </c:ser>
        <c:ser>
          <c:idx val="3"/>
          <c:order val="3"/>
          <c:tx>
            <c:strRef>
              <c:f>'Checkerboard-MPI'!$A$15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'Checkerboard-MPI'!$B$11:$G$11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'Checkerboard-MPI'!$B$15:$G$15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87-7541-891F-02718C74951F}"/>
            </c:ext>
          </c:extLst>
        </c:ser>
        <c:ser>
          <c:idx val="4"/>
          <c:order val="4"/>
          <c:tx>
            <c:strRef>
              <c:f>'Checkerboard-MPI'!$A$16</c:f>
              <c:strCache>
                <c:ptCount val="1"/>
                <c:pt idx="0">
                  <c:v>4020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'Checkerboard-MPI'!$B$11:$G$11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'Checkerboard-MPI'!$B$16:$G$16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87-7541-891F-02718C74951F}"/>
            </c:ext>
          </c:extLst>
        </c:ser>
        <c:ser>
          <c:idx val="5"/>
          <c:order val="5"/>
          <c:tx>
            <c:strRef>
              <c:f>'Checkerboard-MPI'!$A$17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'Checkerboard-MPI'!$B$11:$G$11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'Checkerboard-MPI'!$B$17:$G$17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87-7541-891F-02718C749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066448"/>
        <c:axId val="252593168"/>
      </c:scatterChart>
      <c:valAx>
        <c:axId val="25206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processors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593168"/>
        <c:crosses val="autoZero"/>
        <c:crossBetween val="midCat"/>
      </c:valAx>
      <c:valAx>
        <c:axId val="25259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6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Relative</a:t>
            </a:r>
            <a:r>
              <a:rPr lang="en-GB" b="1" baseline="0"/>
              <a:t> Efficiency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'Checkerboard-MPI'!$A$21</c:f>
              <c:strCache>
                <c:ptCount val="1"/>
                <c:pt idx="0">
                  <c:v>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'Checkerboard-MPI'!$B$20:$G$20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'Checkerboard-MPI'!$B$21:$G$21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BF-D345-B3FE-86F53068F7D1}"/>
            </c:ext>
          </c:extLst>
        </c:ser>
        <c:ser>
          <c:idx val="1"/>
          <c:order val="1"/>
          <c:tx>
            <c:strRef>
              <c:f>'Checkerboard-MPI'!$A$22</c:f>
              <c:strCache>
                <c:ptCount val="1"/>
                <c:pt idx="0">
                  <c:v>480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'Checkerboard-MPI'!$B$20:$G$20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'Checkerboard-MPI'!$B$22:$G$22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BF-D345-B3FE-86F53068F7D1}"/>
            </c:ext>
          </c:extLst>
        </c:ser>
        <c:ser>
          <c:idx val="2"/>
          <c:order val="2"/>
          <c:tx>
            <c:strRef>
              <c:f>'Checkerboard-MPI'!$A$23</c:f>
              <c:strCache>
                <c:ptCount val="1"/>
                <c:pt idx="0">
                  <c:v>1500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'Checkerboard-MPI'!$B$20:$G$20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'Checkerboard-MPI'!$B$23:$G$23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BF-D345-B3FE-86F53068F7D1}"/>
            </c:ext>
          </c:extLst>
        </c:ser>
        <c:ser>
          <c:idx val="3"/>
          <c:order val="3"/>
          <c:tx>
            <c:strRef>
              <c:f>'Checkerboard-MPI'!$A$24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'Checkerboard-MPI'!$B$20:$G$20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'Checkerboard-MPI'!$B$24:$G$24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BF-D345-B3FE-86F53068F7D1}"/>
            </c:ext>
          </c:extLst>
        </c:ser>
        <c:ser>
          <c:idx val="4"/>
          <c:order val="4"/>
          <c:tx>
            <c:strRef>
              <c:f>'Checkerboard-MPI'!$A$25</c:f>
              <c:strCache>
                <c:ptCount val="1"/>
                <c:pt idx="0">
                  <c:v>4020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'Checkerboard-MPI'!$B$20:$G$20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'Checkerboard-MPI'!$B$25:$G$25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BBF-D345-B3FE-86F53068F7D1}"/>
            </c:ext>
          </c:extLst>
        </c:ser>
        <c:ser>
          <c:idx val="5"/>
          <c:order val="5"/>
          <c:tx>
            <c:strRef>
              <c:f>'Checkerboard-MPI'!$A$26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'Checkerboard-MPI'!$B$20:$G$20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'Checkerboard-MPI'!$B$26:$G$26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BBF-D345-B3FE-86F53068F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066448"/>
        <c:axId val="252593168"/>
      </c:scatterChart>
      <c:valAx>
        <c:axId val="25206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processors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593168"/>
        <c:crosses val="autoZero"/>
        <c:crossBetween val="midCat"/>
      </c:valAx>
      <c:valAx>
        <c:axId val="25259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6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Karp-Flatt Metric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'Checkerboard-MPI'!$A$30</c:f>
              <c:strCache>
                <c:ptCount val="1"/>
                <c:pt idx="0">
                  <c:v>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'Checkerboard-MPI'!$C$29:$G$29</c:f>
              <c:numCache>
                <c:formatCode>General</c:formatCode>
                <c:ptCount val="5"/>
                <c:pt idx="0">
                  <c:v>4</c:v>
                </c:pt>
                <c:pt idx="1">
                  <c:v>9</c:v>
                </c:pt>
                <c:pt idx="2">
                  <c:v>16</c:v>
                </c:pt>
                <c:pt idx="3">
                  <c:v>25</c:v>
                </c:pt>
                <c:pt idx="4">
                  <c:v>36</c:v>
                </c:pt>
              </c:numCache>
            </c:numRef>
          </c:xVal>
          <c:yVal>
            <c:numRef>
              <c:f>'Checkerboard-MPI'!$C$30:$G$30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8B-1D40-9E0A-B6701A3066A3}"/>
            </c:ext>
          </c:extLst>
        </c:ser>
        <c:ser>
          <c:idx val="1"/>
          <c:order val="1"/>
          <c:tx>
            <c:strRef>
              <c:f>'Checkerboard-MPI'!$A$31</c:f>
              <c:strCache>
                <c:ptCount val="1"/>
                <c:pt idx="0">
                  <c:v>480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'Checkerboard-MPI'!$C$29:$G$29</c:f>
              <c:numCache>
                <c:formatCode>General</c:formatCode>
                <c:ptCount val="5"/>
                <c:pt idx="0">
                  <c:v>4</c:v>
                </c:pt>
                <c:pt idx="1">
                  <c:v>9</c:v>
                </c:pt>
                <c:pt idx="2">
                  <c:v>16</c:v>
                </c:pt>
                <c:pt idx="3">
                  <c:v>25</c:v>
                </c:pt>
                <c:pt idx="4">
                  <c:v>36</c:v>
                </c:pt>
              </c:numCache>
            </c:numRef>
          </c:xVal>
          <c:yVal>
            <c:numRef>
              <c:f>'Checkerboard-MPI'!$C$31:$G$31</c:f>
              <c:numCache>
                <c:formatCode>0.000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8B-1D40-9E0A-B6701A3066A3}"/>
            </c:ext>
          </c:extLst>
        </c:ser>
        <c:ser>
          <c:idx val="2"/>
          <c:order val="2"/>
          <c:tx>
            <c:strRef>
              <c:f>'Checkerboard-MPI'!$A$32</c:f>
              <c:strCache>
                <c:ptCount val="1"/>
                <c:pt idx="0">
                  <c:v>1500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'Checkerboard-MPI'!$C$29:$G$29</c:f>
              <c:numCache>
                <c:formatCode>General</c:formatCode>
                <c:ptCount val="5"/>
                <c:pt idx="0">
                  <c:v>4</c:v>
                </c:pt>
                <c:pt idx="1">
                  <c:v>9</c:v>
                </c:pt>
                <c:pt idx="2">
                  <c:v>16</c:v>
                </c:pt>
                <c:pt idx="3">
                  <c:v>25</c:v>
                </c:pt>
                <c:pt idx="4">
                  <c:v>36</c:v>
                </c:pt>
              </c:numCache>
            </c:numRef>
          </c:xVal>
          <c:yVal>
            <c:numRef>
              <c:f>'Checkerboard-MPI'!$C$32:$G$32</c:f>
              <c:numCache>
                <c:formatCode>0.000</c:formatCode>
                <c:ptCount val="5"/>
                <c:pt idx="0">
                  <c:v>0</c:v>
                </c:pt>
                <c:pt idx="1">
                  <c:v>0</c:v>
                </c:pt>
                <c:pt idx="2" formatCode="0.0000">
                  <c:v>0</c:v>
                </c:pt>
                <c:pt idx="3" formatCode="0.0000">
                  <c:v>0</c:v>
                </c:pt>
                <c:pt idx="4" formatCode="0.0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8B-1D40-9E0A-B6701A3066A3}"/>
            </c:ext>
          </c:extLst>
        </c:ser>
        <c:ser>
          <c:idx val="3"/>
          <c:order val="3"/>
          <c:tx>
            <c:strRef>
              <c:f>'Checkerboard-MPI'!$A$33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'Checkerboard-MPI'!$C$29:$G$29</c:f>
              <c:numCache>
                <c:formatCode>General</c:formatCode>
                <c:ptCount val="5"/>
                <c:pt idx="0">
                  <c:v>4</c:v>
                </c:pt>
                <c:pt idx="1">
                  <c:v>9</c:v>
                </c:pt>
                <c:pt idx="2">
                  <c:v>16</c:v>
                </c:pt>
                <c:pt idx="3">
                  <c:v>25</c:v>
                </c:pt>
                <c:pt idx="4">
                  <c:v>36</c:v>
                </c:pt>
              </c:numCache>
            </c:numRef>
          </c:xVal>
          <c:yVal>
            <c:numRef>
              <c:f>'Checkerboard-MPI'!$C$33:$G$33</c:f>
              <c:numCache>
                <c:formatCode>0.0000</c:formatCode>
                <c:ptCount val="5"/>
                <c:pt idx="0" formatCode="0.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8B-1D40-9E0A-B6701A3066A3}"/>
            </c:ext>
          </c:extLst>
        </c:ser>
        <c:ser>
          <c:idx val="4"/>
          <c:order val="4"/>
          <c:tx>
            <c:strRef>
              <c:f>'Checkerboard-MPI'!$A$34</c:f>
              <c:strCache>
                <c:ptCount val="1"/>
                <c:pt idx="0">
                  <c:v>4020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'Checkerboard-MPI'!$C$29:$G$29</c:f>
              <c:numCache>
                <c:formatCode>General</c:formatCode>
                <c:ptCount val="5"/>
                <c:pt idx="0">
                  <c:v>4</c:v>
                </c:pt>
                <c:pt idx="1">
                  <c:v>9</c:v>
                </c:pt>
                <c:pt idx="2">
                  <c:v>16</c:v>
                </c:pt>
                <c:pt idx="3">
                  <c:v>25</c:v>
                </c:pt>
                <c:pt idx="4">
                  <c:v>36</c:v>
                </c:pt>
              </c:numCache>
            </c:numRef>
          </c:xVal>
          <c:yVal>
            <c:numRef>
              <c:f>'Checkerboard-MPI'!$C$34:$G$34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A8B-1D40-9E0A-B6701A3066A3}"/>
            </c:ext>
          </c:extLst>
        </c:ser>
        <c:ser>
          <c:idx val="5"/>
          <c:order val="5"/>
          <c:tx>
            <c:strRef>
              <c:f>'Checkerboard-MPI'!$A$35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'Checkerboard-MPI'!$C$29:$G$29</c:f>
              <c:numCache>
                <c:formatCode>General</c:formatCode>
                <c:ptCount val="5"/>
                <c:pt idx="0">
                  <c:v>4</c:v>
                </c:pt>
                <c:pt idx="1">
                  <c:v>9</c:v>
                </c:pt>
                <c:pt idx="2">
                  <c:v>16</c:v>
                </c:pt>
                <c:pt idx="3">
                  <c:v>25</c:v>
                </c:pt>
                <c:pt idx="4">
                  <c:v>36</c:v>
                </c:pt>
              </c:numCache>
            </c:numRef>
          </c:xVal>
          <c:yVal>
            <c:numRef>
              <c:f>'Checkerboard-MPI'!$C$35:$G$35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8B-1D40-9E0A-B6701A306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066448"/>
        <c:axId val="252593168"/>
      </c:scatterChart>
      <c:valAx>
        <c:axId val="25206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processors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593168"/>
        <c:crosses val="autoZero"/>
        <c:crossBetween val="midCat"/>
      </c:valAx>
      <c:valAx>
        <c:axId val="25259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e(n, 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6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CUDA!$B$2</c:f>
              <c:strCache>
                <c:ptCount val="1"/>
                <c:pt idx="0">
                  <c:v>Sequential on CPU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CUDA!$A$3:$A$8</c:f>
              <c:numCache>
                <c:formatCode>General</c:formatCode>
                <c:ptCount val="6"/>
                <c:pt idx="0">
                  <c:v>60</c:v>
                </c:pt>
                <c:pt idx="1">
                  <c:v>480</c:v>
                </c:pt>
                <c:pt idx="2">
                  <c:v>1500</c:v>
                </c:pt>
                <c:pt idx="3">
                  <c:v>3000</c:v>
                </c:pt>
                <c:pt idx="4">
                  <c:v>4020</c:v>
                </c:pt>
                <c:pt idx="5">
                  <c:v>6000</c:v>
                </c:pt>
              </c:numCache>
            </c:numRef>
          </c:xVal>
          <c:yVal>
            <c:numRef>
              <c:f>CUDA!$B$3:$B$8</c:f>
              <c:numCache>
                <c:formatCode>0.000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AF-B14A-A7C6-EC9E4072F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370096"/>
        <c:axId val="260456704"/>
      </c:scatterChart>
      <c:valAx>
        <c:axId val="26037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Problem</a:t>
                </a:r>
                <a:r>
                  <a:rPr lang="en-GB" baseline="0"/>
                  <a:t> size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456704"/>
        <c:crosses val="autoZero"/>
        <c:crossBetween val="midCat"/>
      </c:valAx>
      <c:valAx>
        <c:axId val="26045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Execution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37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CUDA!$C$2</c:f>
              <c:strCache>
                <c:ptCount val="1"/>
                <c:pt idx="0">
                  <c:v>CUDA on GPU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CUDA!$A$3:$A$8</c:f>
              <c:numCache>
                <c:formatCode>General</c:formatCode>
                <c:ptCount val="6"/>
                <c:pt idx="0">
                  <c:v>60</c:v>
                </c:pt>
                <c:pt idx="1">
                  <c:v>480</c:v>
                </c:pt>
                <c:pt idx="2">
                  <c:v>1500</c:v>
                </c:pt>
                <c:pt idx="3">
                  <c:v>3000</c:v>
                </c:pt>
                <c:pt idx="4">
                  <c:v>4020</c:v>
                </c:pt>
                <c:pt idx="5">
                  <c:v>6000</c:v>
                </c:pt>
              </c:numCache>
            </c:numRef>
          </c:xVal>
          <c:yVal>
            <c:numRef>
              <c:f>CUDA!$C$3:$C$8</c:f>
              <c:numCache>
                <c:formatCode>0.000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8C-0447-BB82-47F182F77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370096"/>
        <c:axId val="260456704"/>
      </c:scatterChart>
      <c:valAx>
        <c:axId val="26037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Problem</a:t>
                </a:r>
                <a:r>
                  <a:rPr lang="en-GB" baseline="0"/>
                  <a:t> size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456704"/>
        <c:crosses val="autoZero"/>
        <c:crossBetween val="midCat"/>
      </c:valAx>
      <c:valAx>
        <c:axId val="26045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Execution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37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of GPU over CPU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CUDA!$B$11</c:f>
              <c:strCache>
                <c:ptCount val="1"/>
                <c:pt idx="0">
                  <c:v>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CUDA!$A$12:$A$17</c:f>
              <c:numCache>
                <c:formatCode>General</c:formatCode>
                <c:ptCount val="6"/>
                <c:pt idx="0">
                  <c:v>60</c:v>
                </c:pt>
                <c:pt idx="1">
                  <c:v>480</c:v>
                </c:pt>
                <c:pt idx="2">
                  <c:v>1500</c:v>
                </c:pt>
                <c:pt idx="3">
                  <c:v>3000</c:v>
                </c:pt>
                <c:pt idx="4">
                  <c:v>4020</c:v>
                </c:pt>
                <c:pt idx="5">
                  <c:v>6000</c:v>
                </c:pt>
              </c:numCache>
            </c:numRef>
          </c:xVal>
          <c:yVal>
            <c:numRef>
              <c:f>CUDA!$B$12:$B$17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E7-334F-A1B5-605090579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067744"/>
        <c:axId val="1308658320"/>
      </c:scatterChart>
      <c:valAx>
        <c:axId val="130906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Problem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658320"/>
        <c:crosses val="autoZero"/>
        <c:crossBetween val="midCat"/>
      </c:valAx>
      <c:valAx>
        <c:axId val="130865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067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214801</xdr:colOff>
      <xdr:row>0</xdr:row>
      <xdr:rowOff>66948</xdr:rowOff>
    </xdr:from>
    <xdr:to>
      <xdr:col>14</xdr:col>
      <xdr:colOff>524618</xdr:colOff>
      <xdr:row>19</xdr:row>
      <xdr:rowOff>29632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CDB779-0C52-5B46-BC7B-E3D9DCE5C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214798</xdr:colOff>
      <xdr:row>19</xdr:row>
      <xdr:rowOff>66948</xdr:rowOff>
    </xdr:from>
    <xdr:to>
      <xdr:col>14</xdr:col>
      <xdr:colOff>524615</xdr:colOff>
      <xdr:row>38</xdr:row>
      <xdr:rowOff>60990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C028F9-772A-6340-8E41-72D29E09B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219505</xdr:colOff>
      <xdr:row>38</xdr:row>
      <xdr:rowOff>94075</xdr:rowOff>
    </xdr:from>
    <xdr:to>
      <xdr:col>14</xdr:col>
      <xdr:colOff>529322</xdr:colOff>
      <xdr:row>58</xdr:row>
      <xdr:rowOff>1882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65E427-8BD5-6B4A-9536-4F1A318587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67862</xdr:colOff>
      <xdr:row>38</xdr:row>
      <xdr:rowOff>87251</xdr:rowOff>
    </xdr:from>
    <xdr:to>
      <xdr:col>7</xdr:col>
      <xdr:colOff>115923</xdr:colOff>
      <xdr:row>57</xdr:row>
      <xdr:rowOff>159867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B583F1-512A-D346-A72A-9E3F4FB73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214801</xdr:colOff>
      <xdr:row>0</xdr:row>
      <xdr:rowOff>66948</xdr:rowOff>
    </xdr:from>
    <xdr:to>
      <xdr:col>14</xdr:col>
      <xdr:colOff>524618</xdr:colOff>
      <xdr:row>19</xdr:row>
      <xdr:rowOff>29632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5144F9-9CE6-4290-DAA7-D140547FB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214798</xdr:colOff>
      <xdr:row>19</xdr:row>
      <xdr:rowOff>66948</xdr:rowOff>
    </xdr:from>
    <xdr:to>
      <xdr:col>14</xdr:col>
      <xdr:colOff>524615</xdr:colOff>
      <xdr:row>38</xdr:row>
      <xdr:rowOff>60990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CDC33D4-12BD-B46A-A9D6-17BBDEAC7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219505</xdr:colOff>
      <xdr:row>38</xdr:row>
      <xdr:rowOff>94075</xdr:rowOff>
    </xdr:from>
    <xdr:to>
      <xdr:col>14</xdr:col>
      <xdr:colOff>529322</xdr:colOff>
      <xdr:row>58</xdr:row>
      <xdr:rowOff>1882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391655F-4C6A-8248-A902-39AD2595D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67862</xdr:colOff>
      <xdr:row>38</xdr:row>
      <xdr:rowOff>87251</xdr:rowOff>
    </xdr:from>
    <xdr:to>
      <xdr:col>7</xdr:col>
      <xdr:colOff>115923</xdr:colOff>
      <xdr:row>57</xdr:row>
      <xdr:rowOff>159867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05156D7-12AB-F947-BADB-E6D19E2BB4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81408</xdr:colOff>
      <xdr:row>0</xdr:row>
      <xdr:rowOff>48843</xdr:rowOff>
    </xdr:from>
    <xdr:to>
      <xdr:col>8</xdr:col>
      <xdr:colOff>543362</xdr:colOff>
      <xdr:row>16</xdr:row>
      <xdr:rowOff>105505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9695ABA-A9FF-9A31-18A4-FE583C931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553591</xdr:colOff>
      <xdr:row>0</xdr:row>
      <xdr:rowOff>48847</xdr:rowOff>
    </xdr:from>
    <xdr:to>
      <xdr:col>14</xdr:col>
      <xdr:colOff>339840</xdr:colOff>
      <xdr:row>16</xdr:row>
      <xdr:rowOff>105509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D86303-1852-3F49-AFD8-CFF552216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70665</xdr:colOff>
      <xdr:row>16</xdr:row>
      <xdr:rowOff>133675</xdr:rowOff>
    </xdr:from>
    <xdr:to>
      <xdr:col>8</xdr:col>
      <xdr:colOff>524479</xdr:colOff>
      <xdr:row>32</xdr:row>
      <xdr:rowOff>159075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FCACD4-C681-9D9F-6F4E-21E4FDEFF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77BA-5D7B-9745-8DC2-EA3648C451AC}">
  <dimension ref="A1:G48"/>
  <sheetViews>
    <sheetView tabSelected="1" zoomScale="156" workbookViewId="0">
      <selection activeCell="B4" sqref="B4"/>
    </sheetView>
  </sheetViews>
  <sheetFormatPr baseColWidth="10" defaultRowHeight="13" x14ac:dyDescent="0.15"/>
  <cols>
    <col min="1" max="1" width="11.33203125" customWidth="1"/>
    <col min="2" max="7" width="10.83203125" customWidth="1"/>
    <col min="8" max="256" width="8.83203125" customWidth="1"/>
  </cols>
  <sheetData>
    <row r="1" spans="1:7" ht="14" thickBot="1" x14ac:dyDescent="0.2">
      <c r="A1" s="7" t="s">
        <v>0</v>
      </c>
      <c r="B1" s="8"/>
      <c r="C1" s="8"/>
      <c r="D1" s="8"/>
      <c r="E1" s="8"/>
      <c r="F1" s="8"/>
      <c r="G1" s="8"/>
    </row>
    <row r="2" spans="1:7" ht="14" thickBot="1" x14ac:dyDescent="0.2">
      <c r="A2" s="9" t="s">
        <v>5</v>
      </c>
      <c r="B2" s="13">
        <v>1</v>
      </c>
      <c r="C2" s="14">
        <v>4</v>
      </c>
      <c r="D2" s="14">
        <v>9</v>
      </c>
      <c r="E2" s="14">
        <v>16</v>
      </c>
      <c r="F2" s="14">
        <v>25</v>
      </c>
      <c r="G2" s="15">
        <v>36</v>
      </c>
    </row>
    <row r="3" spans="1:7" x14ac:dyDescent="0.15">
      <c r="A3" s="10">
        <v>60</v>
      </c>
      <c r="B3" s="17"/>
      <c r="C3" s="16"/>
      <c r="D3" s="16"/>
      <c r="E3" s="16"/>
      <c r="F3" s="16"/>
      <c r="G3" s="18"/>
    </row>
    <row r="4" spans="1:7" x14ac:dyDescent="0.15">
      <c r="A4" s="11">
        <v>480</v>
      </c>
      <c r="B4" s="19"/>
      <c r="C4" s="20"/>
      <c r="D4" s="20"/>
      <c r="E4" s="20"/>
      <c r="F4" s="20"/>
      <c r="G4" s="21"/>
    </row>
    <row r="5" spans="1:7" x14ac:dyDescent="0.15">
      <c r="A5" s="11">
        <v>1500</v>
      </c>
      <c r="B5" s="19"/>
      <c r="C5" s="20"/>
      <c r="D5" s="20"/>
      <c r="E5" s="20"/>
      <c r="F5" s="20"/>
      <c r="G5" s="21"/>
    </row>
    <row r="6" spans="1:7" x14ac:dyDescent="0.15">
      <c r="A6" s="11">
        <v>3000</v>
      </c>
      <c r="B6" s="19"/>
      <c r="C6" s="20"/>
      <c r="D6" s="20"/>
      <c r="E6" s="20"/>
      <c r="F6" s="20"/>
      <c r="G6" s="21"/>
    </row>
    <row r="7" spans="1:7" x14ac:dyDescent="0.15">
      <c r="A7" s="11">
        <v>4020</v>
      </c>
      <c r="B7" s="19"/>
      <c r="C7" s="20"/>
      <c r="D7" s="20"/>
      <c r="E7" s="20"/>
      <c r="F7" s="20"/>
      <c r="G7" s="21"/>
    </row>
    <row r="8" spans="1:7" ht="14" thickBot="1" x14ac:dyDescent="0.2">
      <c r="A8" s="12">
        <v>6000</v>
      </c>
      <c r="B8" s="22"/>
      <c r="C8" s="22"/>
      <c r="D8" s="22"/>
      <c r="E8" s="22"/>
      <c r="F8" s="22"/>
      <c r="G8" s="22"/>
    </row>
    <row r="9" spans="1:7" x14ac:dyDescent="0.15">
      <c r="B9" s="2"/>
    </row>
    <row r="10" spans="1:7" ht="14" thickBot="1" x14ac:dyDescent="0.2">
      <c r="A10" s="7" t="s">
        <v>4</v>
      </c>
      <c r="B10" s="8"/>
      <c r="C10" s="8"/>
      <c r="D10" s="8"/>
      <c r="E10" s="8"/>
      <c r="F10" s="8"/>
      <c r="G10" s="8"/>
    </row>
    <row r="11" spans="1:7" ht="14" thickBot="1" x14ac:dyDescent="0.2">
      <c r="A11" s="9" t="s">
        <v>5</v>
      </c>
      <c r="B11" s="26">
        <v>1</v>
      </c>
      <c r="C11" s="27">
        <v>4</v>
      </c>
      <c r="D11" s="27">
        <v>9</v>
      </c>
      <c r="E11" s="27">
        <v>16</v>
      </c>
      <c r="F11" s="27">
        <v>25</v>
      </c>
      <c r="G11" s="28">
        <v>36</v>
      </c>
    </row>
    <row r="12" spans="1:7" x14ac:dyDescent="0.15">
      <c r="A12" s="23">
        <v>60</v>
      </c>
      <c r="B12" s="31" t="e">
        <f t="shared" ref="B12:G15" si="0">$B3/B3</f>
        <v>#DIV/0!</v>
      </c>
      <c r="C12" s="37" t="e">
        <f t="shared" si="0"/>
        <v>#DIV/0!</v>
      </c>
      <c r="D12" s="37" t="e">
        <f t="shared" si="0"/>
        <v>#DIV/0!</v>
      </c>
      <c r="E12" s="37" t="e">
        <f t="shared" si="0"/>
        <v>#DIV/0!</v>
      </c>
      <c r="F12" s="37" t="e">
        <f t="shared" si="0"/>
        <v>#DIV/0!</v>
      </c>
      <c r="G12" s="38" t="e">
        <f t="shared" si="0"/>
        <v>#DIV/0!</v>
      </c>
    </row>
    <row r="13" spans="1:7" x14ac:dyDescent="0.15">
      <c r="A13" s="24">
        <v>480</v>
      </c>
      <c r="B13" s="32" t="e">
        <f t="shared" si="0"/>
        <v>#DIV/0!</v>
      </c>
      <c r="C13" s="29" t="e">
        <f t="shared" si="0"/>
        <v>#DIV/0!</v>
      </c>
      <c r="D13" s="29" t="e">
        <f t="shared" si="0"/>
        <v>#DIV/0!</v>
      </c>
      <c r="E13" s="29" t="e">
        <f t="shared" si="0"/>
        <v>#DIV/0!</v>
      </c>
      <c r="F13" s="29" t="e">
        <f t="shared" si="0"/>
        <v>#DIV/0!</v>
      </c>
      <c r="G13" s="33" t="e">
        <f t="shared" si="0"/>
        <v>#DIV/0!</v>
      </c>
    </row>
    <row r="14" spans="1:7" x14ac:dyDescent="0.15">
      <c r="A14" s="24">
        <v>1500</v>
      </c>
      <c r="B14" s="32" t="e">
        <f t="shared" si="0"/>
        <v>#DIV/0!</v>
      </c>
      <c r="C14" s="29" t="e">
        <f t="shared" si="0"/>
        <v>#DIV/0!</v>
      </c>
      <c r="D14" s="29" t="e">
        <f t="shared" si="0"/>
        <v>#DIV/0!</v>
      </c>
      <c r="E14" s="29" t="e">
        <f t="shared" si="0"/>
        <v>#DIV/0!</v>
      </c>
      <c r="F14" s="29" t="e">
        <f t="shared" si="0"/>
        <v>#DIV/0!</v>
      </c>
      <c r="G14" s="33" t="e">
        <f t="shared" si="0"/>
        <v>#DIV/0!</v>
      </c>
    </row>
    <row r="15" spans="1:7" x14ac:dyDescent="0.15">
      <c r="A15" s="24">
        <v>3000</v>
      </c>
      <c r="B15" s="32" t="e">
        <f t="shared" si="0"/>
        <v>#DIV/0!</v>
      </c>
      <c r="C15" s="29" t="e">
        <f t="shared" si="0"/>
        <v>#DIV/0!</v>
      </c>
      <c r="D15" s="29" t="e">
        <f t="shared" si="0"/>
        <v>#DIV/0!</v>
      </c>
      <c r="E15" s="29" t="e">
        <f t="shared" si="0"/>
        <v>#DIV/0!</v>
      </c>
      <c r="F15" s="29" t="e">
        <f t="shared" si="0"/>
        <v>#DIV/0!</v>
      </c>
      <c r="G15" s="33" t="e">
        <f t="shared" si="0"/>
        <v>#DIV/0!</v>
      </c>
    </row>
    <row r="16" spans="1:7" x14ac:dyDescent="0.15">
      <c r="A16" s="24">
        <v>4020</v>
      </c>
      <c r="B16" s="32" t="e">
        <f>$B7/B7</f>
        <v>#DIV/0!</v>
      </c>
      <c r="C16" s="29" t="e">
        <f t="shared" ref="C16:G17" si="1">$B7/C7</f>
        <v>#DIV/0!</v>
      </c>
      <c r="D16" s="29" t="e">
        <f t="shared" si="1"/>
        <v>#DIV/0!</v>
      </c>
      <c r="E16" s="29" t="e">
        <f t="shared" si="1"/>
        <v>#DIV/0!</v>
      </c>
      <c r="F16" s="29" t="e">
        <f t="shared" si="1"/>
        <v>#DIV/0!</v>
      </c>
      <c r="G16" s="33" t="e">
        <f t="shared" si="1"/>
        <v>#DIV/0!</v>
      </c>
    </row>
    <row r="17" spans="1:7" ht="14" thickBot="1" x14ac:dyDescent="0.2">
      <c r="A17" s="25">
        <v>6000</v>
      </c>
      <c r="B17" s="34" t="e">
        <f>$B8/B8</f>
        <v>#DIV/0!</v>
      </c>
      <c r="C17" s="35" t="e">
        <f t="shared" si="1"/>
        <v>#DIV/0!</v>
      </c>
      <c r="D17" s="35" t="e">
        <f t="shared" si="1"/>
        <v>#DIV/0!</v>
      </c>
      <c r="E17" s="35" t="e">
        <f t="shared" si="1"/>
        <v>#DIV/0!</v>
      </c>
      <c r="F17" s="35" t="e">
        <f t="shared" si="1"/>
        <v>#DIV/0!</v>
      </c>
      <c r="G17" s="36" t="e">
        <f t="shared" si="1"/>
        <v>#DIV/0!</v>
      </c>
    </row>
    <row r="19" spans="1:7" ht="14" thickBot="1" x14ac:dyDescent="0.2">
      <c r="A19" s="7" t="s">
        <v>3</v>
      </c>
      <c r="B19" s="8"/>
      <c r="C19" s="8"/>
      <c r="D19" s="8"/>
      <c r="E19" s="8"/>
      <c r="F19" s="8"/>
      <c r="G19" s="8"/>
    </row>
    <row r="20" spans="1:7" ht="14" thickBot="1" x14ac:dyDescent="0.2">
      <c r="A20" s="9" t="s">
        <v>5</v>
      </c>
      <c r="B20" s="26">
        <v>1</v>
      </c>
      <c r="C20" s="27">
        <v>4</v>
      </c>
      <c r="D20" s="27">
        <v>9</v>
      </c>
      <c r="E20" s="27">
        <v>16</v>
      </c>
      <c r="F20" s="27">
        <v>25</v>
      </c>
      <c r="G20" s="28">
        <v>36</v>
      </c>
    </row>
    <row r="21" spans="1:7" x14ac:dyDescent="0.15">
      <c r="A21" s="23">
        <v>60</v>
      </c>
      <c r="B21" s="31" t="e">
        <f t="shared" ref="B21:F26" si="2">B12/B$11</f>
        <v>#DIV/0!</v>
      </c>
      <c r="C21" s="37" t="e">
        <f t="shared" si="2"/>
        <v>#DIV/0!</v>
      </c>
      <c r="D21" s="37" t="e">
        <f t="shared" si="2"/>
        <v>#DIV/0!</v>
      </c>
      <c r="E21" s="37" t="e">
        <f t="shared" si="2"/>
        <v>#DIV/0!</v>
      </c>
      <c r="F21" s="37" t="e">
        <f t="shared" si="2"/>
        <v>#DIV/0!</v>
      </c>
      <c r="G21" s="38" t="e">
        <f t="shared" ref="G21:G26" si="3">G12/G$11</f>
        <v>#DIV/0!</v>
      </c>
    </row>
    <row r="22" spans="1:7" x14ac:dyDescent="0.15">
      <c r="A22" s="24">
        <v>480</v>
      </c>
      <c r="B22" s="32" t="e">
        <f t="shared" si="2"/>
        <v>#DIV/0!</v>
      </c>
      <c r="C22" s="29" t="e">
        <f t="shared" si="2"/>
        <v>#DIV/0!</v>
      </c>
      <c r="D22" s="29" t="e">
        <f t="shared" si="2"/>
        <v>#DIV/0!</v>
      </c>
      <c r="E22" s="29" t="e">
        <f t="shared" si="2"/>
        <v>#DIV/0!</v>
      </c>
      <c r="F22" s="29" t="e">
        <f t="shared" si="2"/>
        <v>#DIV/0!</v>
      </c>
      <c r="G22" s="33" t="e">
        <f t="shared" si="3"/>
        <v>#DIV/0!</v>
      </c>
    </row>
    <row r="23" spans="1:7" x14ac:dyDescent="0.15">
      <c r="A23" s="24">
        <v>1500</v>
      </c>
      <c r="B23" s="32" t="e">
        <f t="shared" si="2"/>
        <v>#DIV/0!</v>
      </c>
      <c r="C23" s="29" t="e">
        <f t="shared" si="2"/>
        <v>#DIV/0!</v>
      </c>
      <c r="D23" s="29" t="e">
        <f t="shared" si="2"/>
        <v>#DIV/0!</v>
      </c>
      <c r="E23" s="29" t="e">
        <f t="shared" si="2"/>
        <v>#DIV/0!</v>
      </c>
      <c r="F23" s="29" t="e">
        <f t="shared" si="2"/>
        <v>#DIV/0!</v>
      </c>
      <c r="G23" s="33" t="e">
        <f t="shared" si="3"/>
        <v>#DIV/0!</v>
      </c>
    </row>
    <row r="24" spans="1:7" x14ac:dyDescent="0.15">
      <c r="A24" s="24">
        <v>3000</v>
      </c>
      <c r="B24" s="32" t="e">
        <f t="shared" si="2"/>
        <v>#DIV/0!</v>
      </c>
      <c r="C24" s="29" t="e">
        <f t="shared" si="2"/>
        <v>#DIV/0!</v>
      </c>
      <c r="D24" s="29" t="e">
        <f t="shared" si="2"/>
        <v>#DIV/0!</v>
      </c>
      <c r="E24" s="29" t="e">
        <f t="shared" si="2"/>
        <v>#DIV/0!</v>
      </c>
      <c r="F24" s="29" t="e">
        <f t="shared" si="2"/>
        <v>#DIV/0!</v>
      </c>
      <c r="G24" s="33" t="e">
        <f t="shared" si="3"/>
        <v>#DIV/0!</v>
      </c>
    </row>
    <row r="25" spans="1:7" x14ac:dyDescent="0.15">
      <c r="A25" s="24">
        <v>4020</v>
      </c>
      <c r="B25" s="32" t="e">
        <f t="shared" si="2"/>
        <v>#DIV/0!</v>
      </c>
      <c r="C25" s="29" t="e">
        <f t="shared" si="2"/>
        <v>#DIV/0!</v>
      </c>
      <c r="D25" s="29" t="e">
        <f t="shared" si="2"/>
        <v>#DIV/0!</v>
      </c>
      <c r="E25" s="29" t="e">
        <f t="shared" si="2"/>
        <v>#DIV/0!</v>
      </c>
      <c r="F25" s="29" t="e">
        <f t="shared" si="2"/>
        <v>#DIV/0!</v>
      </c>
      <c r="G25" s="33" t="e">
        <f t="shared" si="3"/>
        <v>#DIV/0!</v>
      </c>
    </row>
    <row r="26" spans="1:7" ht="14" thickBot="1" x14ac:dyDescent="0.2">
      <c r="A26" s="25">
        <v>6000</v>
      </c>
      <c r="B26" s="34" t="e">
        <f t="shared" si="2"/>
        <v>#DIV/0!</v>
      </c>
      <c r="C26" s="35" t="e">
        <f t="shared" si="2"/>
        <v>#DIV/0!</v>
      </c>
      <c r="D26" s="35" t="e">
        <f t="shared" si="2"/>
        <v>#DIV/0!</v>
      </c>
      <c r="E26" s="35" t="e">
        <f t="shared" si="2"/>
        <v>#DIV/0!</v>
      </c>
      <c r="F26" s="35" t="e">
        <f t="shared" si="2"/>
        <v>#DIV/0!</v>
      </c>
      <c r="G26" s="36" t="e">
        <f t="shared" si="3"/>
        <v>#DIV/0!</v>
      </c>
    </row>
    <row r="28" spans="1:7" ht="14" thickBot="1" x14ac:dyDescent="0.2">
      <c r="A28" s="5" t="s">
        <v>1</v>
      </c>
      <c r="B28" s="6"/>
      <c r="C28" s="6"/>
      <c r="D28" s="6"/>
      <c r="E28" s="6"/>
      <c r="F28" s="6"/>
      <c r="G28" s="6"/>
    </row>
    <row r="29" spans="1:7" ht="14" thickBot="1" x14ac:dyDescent="0.2">
      <c r="A29" s="39" t="s">
        <v>5</v>
      </c>
      <c r="B29" s="46">
        <v>1</v>
      </c>
      <c r="C29" s="14">
        <v>4</v>
      </c>
      <c r="D29" s="14">
        <v>9</v>
      </c>
      <c r="E29" s="14">
        <v>16</v>
      </c>
      <c r="F29" s="14">
        <v>25</v>
      </c>
      <c r="G29" s="15">
        <v>36</v>
      </c>
    </row>
    <row r="30" spans="1:7" x14ac:dyDescent="0.15">
      <c r="A30" s="23">
        <v>60</v>
      </c>
      <c r="B30" s="47"/>
      <c r="C30" s="44" t="e">
        <f t="shared" ref="C30:G35" si="4">(1/C12-1/C$29)/(1-1/C$29)</f>
        <v>#DIV/0!</v>
      </c>
      <c r="D30" s="44" t="e">
        <f t="shared" si="4"/>
        <v>#DIV/0!</v>
      </c>
      <c r="E30" s="44" t="e">
        <f t="shared" si="4"/>
        <v>#DIV/0!</v>
      </c>
      <c r="F30" s="44" t="e">
        <f t="shared" si="4"/>
        <v>#DIV/0!</v>
      </c>
      <c r="G30" s="45" t="e">
        <f t="shared" si="4"/>
        <v>#DIV/0!</v>
      </c>
    </row>
    <row r="31" spans="1:7" x14ac:dyDescent="0.15">
      <c r="A31" s="24">
        <v>480</v>
      </c>
      <c r="B31" s="48"/>
      <c r="C31" s="30" t="e">
        <f t="shared" si="4"/>
        <v>#DIV/0!</v>
      </c>
      <c r="D31" s="30" t="e">
        <f t="shared" si="4"/>
        <v>#DIV/0!</v>
      </c>
      <c r="E31" s="30" t="e">
        <f t="shared" si="4"/>
        <v>#DIV/0!</v>
      </c>
      <c r="F31" s="29" t="e">
        <f t="shared" si="4"/>
        <v>#DIV/0!</v>
      </c>
      <c r="G31" s="33" t="e">
        <f t="shared" si="4"/>
        <v>#DIV/0!</v>
      </c>
    </row>
    <row r="32" spans="1:7" x14ac:dyDescent="0.15">
      <c r="A32" s="24">
        <v>1500</v>
      </c>
      <c r="B32" s="48"/>
      <c r="C32" s="30" t="e">
        <f t="shared" si="4"/>
        <v>#DIV/0!</v>
      </c>
      <c r="D32" s="30" t="e">
        <f t="shared" si="4"/>
        <v>#DIV/0!</v>
      </c>
      <c r="E32" s="40" t="e">
        <f t="shared" si="4"/>
        <v>#DIV/0!</v>
      </c>
      <c r="F32" s="40" t="e">
        <f t="shared" si="4"/>
        <v>#DIV/0!</v>
      </c>
      <c r="G32" s="41" t="e">
        <f t="shared" si="4"/>
        <v>#DIV/0!</v>
      </c>
    </row>
    <row r="33" spans="1:7" x14ac:dyDescent="0.15">
      <c r="A33" s="24">
        <v>3000</v>
      </c>
      <c r="B33" s="48"/>
      <c r="C33" s="30" t="e">
        <f t="shared" si="4"/>
        <v>#DIV/0!</v>
      </c>
      <c r="D33" s="40" t="e">
        <f t="shared" si="4"/>
        <v>#DIV/0!</v>
      </c>
      <c r="E33" s="40" t="e">
        <f t="shared" si="4"/>
        <v>#DIV/0!</v>
      </c>
      <c r="F33" s="40" t="e">
        <f t="shared" si="4"/>
        <v>#DIV/0!</v>
      </c>
      <c r="G33" s="41" t="e">
        <f t="shared" si="4"/>
        <v>#DIV/0!</v>
      </c>
    </row>
    <row r="34" spans="1:7" x14ac:dyDescent="0.15">
      <c r="A34" s="24">
        <v>4020</v>
      </c>
      <c r="B34" s="49"/>
      <c r="C34" s="40" t="e">
        <f t="shared" si="4"/>
        <v>#DIV/0!</v>
      </c>
      <c r="D34" s="40" t="e">
        <f t="shared" si="4"/>
        <v>#DIV/0!</v>
      </c>
      <c r="E34" s="40" t="e">
        <f t="shared" si="4"/>
        <v>#DIV/0!</v>
      </c>
      <c r="F34" s="40" t="e">
        <f t="shared" si="4"/>
        <v>#DIV/0!</v>
      </c>
      <c r="G34" s="41" t="e">
        <f t="shared" si="4"/>
        <v>#DIV/0!</v>
      </c>
    </row>
    <row r="35" spans="1:7" ht="14" thickBot="1" x14ac:dyDescent="0.2">
      <c r="A35" s="25">
        <v>6000</v>
      </c>
      <c r="B35" s="50"/>
      <c r="C35" s="42" t="e">
        <f t="shared" si="4"/>
        <v>#DIV/0!</v>
      </c>
      <c r="D35" s="42" t="e">
        <f t="shared" si="4"/>
        <v>#DIV/0!</v>
      </c>
      <c r="E35" s="42" t="e">
        <f t="shared" si="4"/>
        <v>#DIV/0!</v>
      </c>
      <c r="F35" s="42" t="e">
        <f t="shared" si="4"/>
        <v>#DIV/0!</v>
      </c>
      <c r="G35" s="43" t="e">
        <f t="shared" si="4"/>
        <v>#DIV/0!</v>
      </c>
    </row>
    <row r="37" spans="1:7" x14ac:dyDescent="0.15">
      <c r="B37" s="2"/>
      <c r="C37" s="4"/>
      <c r="D37" s="4"/>
      <c r="E37" s="3"/>
    </row>
    <row r="38" spans="1:7" x14ac:dyDescent="0.15">
      <c r="A38" s="2"/>
      <c r="B38" s="2"/>
      <c r="C38" s="4"/>
      <c r="D38" s="4"/>
      <c r="E38" s="3"/>
    </row>
    <row r="39" spans="1:7" x14ac:dyDescent="0.15">
      <c r="A39" s="2"/>
      <c r="B39" s="2"/>
      <c r="C39" s="4"/>
      <c r="D39" s="4"/>
      <c r="E39" s="3"/>
    </row>
    <row r="40" spans="1:7" x14ac:dyDescent="0.15">
      <c r="C40" s="3"/>
      <c r="D40" s="3"/>
      <c r="E40" s="3"/>
    </row>
    <row r="44" spans="1:7" x14ac:dyDescent="0.15">
      <c r="B44" s="1"/>
      <c r="C44" s="1"/>
      <c r="D44" s="1"/>
      <c r="E44" s="1"/>
      <c r="F44" s="1"/>
    </row>
    <row r="45" spans="1:7" x14ac:dyDescent="0.15">
      <c r="B45" s="1"/>
      <c r="C45" s="1"/>
      <c r="D45" s="1"/>
      <c r="E45" s="1"/>
      <c r="F45" s="1"/>
    </row>
    <row r="46" spans="1:7" x14ac:dyDescent="0.15">
      <c r="B46" s="1"/>
      <c r="C46" s="1"/>
      <c r="D46" s="1"/>
      <c r="E46" s="1"/>
      <c r="F46" s="1"/>
    </row>
    <row r="47" spans="1:7" x14ac:dyDescent="0.15">
      <c r="B47" s="1"/>
      <c r="C47" s="1"/>
      <c r="D47" s="1"/>
      <c r="E47" s="1"/>
      <c r="F47" s="1"/>
    </row>
    <row r="48" spans="1:7" x14ac:dyDescent="0.15">
      <c r="B48" s="1"/>
      <c r="C48" s="1"/>
      <c r="D48" s="1"/>
      <c r="E48" s="1"/>
      <c r="F48" s="1"/>
    </row>
  </sheetData>
  <pageMargins left="0.75" right="0.75" top="1" bottom="1" header="0.5" footer="0.5"/>
  <pageSetup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39CBC-B521-E249-B8FF-E2D0D22E5E9B}">
  <dimension ref="A1:G48"/>
  <sheetViews>
    <sheetView zoomScale="156" workbookViewId="0">
      <selection activeCell="B3" sqref="B3:G8"/>
    </sheetView>
  </sheetViews>
  <sheetFormatPr baseColWidth="10" defaultRowHeight="13" x14ac:dyDescent="0.15"/>
  <cols>
    <col min="1" max="1" width="11.33203125" customWidth="1"/>
    <col min="2" max="7" width="10.83203125" customWidth="1"/>
    <col min="8" max="256" width="8.83203125" customWidth="1"/>
  </cols>
  <sheetData>
    <row r="1" spans="1:7" ht="14" thickBot="1" x14ac:dyDescent="0.2">
      <c r="A1" s="7" t="s">
        <v>0</v>
      </c>
      <c r="B1" s="8"/>
      <c r="C1" s="8"/>
      <c r="D1" s="8"/>
      <c r="E1" s="8"/>
      <c r="F1" s="8"/>
      <c r="G1" s="8"/>
    </row>
    <row r="2" spans="1:7" ht="14" thickBot="1" x14ac:dyDescent="0.2">
      <c r="A2" s="9" t="s">
        <v>5</v>
      </c>
      <c r="B2" s="13">
        <v>1</v>
      </c>
      <c r="C2" s="14">
        <v>4</v>
      </c>
      <c r="D2" s="14">
        <v>9</v>
      </c>
      <c r="E2" s="14">
        <v>16</v>
      </c>
      <c r="F2" s="14">
        <v>25</v>
      </c>
      <c r="G2" s="15">
        <v>36</v>
      </c>
    </row>
    <row r="3" spans="1:7" x14ac:dyDescent="0.15">
      <c r="A3" s="10">
        <v>60</v>
      </c>
      <c r="B3" s="17"/>
      <c r="C3" s="16"/>
      <c r="D3" s="16"/>
      <c r="E3" s="16"/>
      <c r="F3" s="16"/>
      <c r="G3" s="18"/>
    </row>
    <row r="4" spans="1:7" x14ac:dyDescent="0.15">
      <c r="A4" s="11">
        <v>480</v>
      </c>
      <c r="B4" s="19"/>
      <c r="C4" s="20"/>
      <c r="D4" s="20"/>
      <c r="E4" s="20"/>
      <c r="F4" s="20"/>
      <c r="G4" s="21"/>
    </row>
    <row r="5" spans="1:7" x14ac:dyDescent="0.15">
      <c r="A5" s="11">
        <v>1500</v>
      </c>
      <c r="B5" s="19"/>
      <c r="C5" s="20"/>
      <c r="D5" s="20"/>
      <c r="E5" s="20"/>
      <c r="F5" s="20"/>
      <c r="G5" s="21"/>
    </row>
    <row r="6" spans="1:7" x14ac:dyDescent="0.15">
      <c r="A6" s="11">
        <v>3000</v>
      </c>
      <c r="B6" s="19"/>
      <c r="C6" s="20"/>
      <c r="D6" s="20"/>
      <c r="E6" s="20"/>
      <c r="F6" s="20"/>
      <c r="G6" s="21"/>
    </row>
    <row r="7" spans="1:7" x14ac:dyDescent="0.15">
      <c r="A7" s="11">
        <v>4020</v>
      </c>
      <c r="B7" s="19"/>
      <c r="C7" s="20"/>
      <c r="D7" s="20"/>
      <c r="E7" s="20"/>
      <c r="F7" s="20"/>
      <c r="G7" s="21"/>
    </row>
    <row r="8" spans="1:7" ht="14" thickBot="1" x14ac:dyDescent="0.2">
      <c r="A8" s="12">
        <v>6000</v>
      </c>
      <c r="B8" s="22"/>
      <c r="C8" s="22"/>
      <c r="D8" s="22"/>
      <c r="E8" s="22"/>
      <c r="F8" s="22"/>
      <c r="G8" s="22"/>
    </row>
    <row r="9" spans="1:7" x14ac:dyDescent="0.15">
      <c r="B9" s="2"/>
    </row>
    <row r="10" spans="1:7" ht="14" thickBot="1" x14ac:dyDescent="0.2">
      <c r="A10" s="7" t="s">
        <v>4</v>
      </c>
      <c r="B10" s="8"/>
      <c r="C10" s="8"/>
      <c r="D10" s="8"/>
      <c r="E10" s="8"/>
      <c r="F10" s="8"/>
      <c r="G10" s="8"/>
    </row>
    <row r="11" spans="1:7" ht="14" thickBot="1" x14ac:dyDescent="0.2">
      <c r="A11" s="9" t="s">
        <v>5</v>
      </c>
      <c r="B11" s="26">
        <v>1</v>
      </c>
      <c r="C11" s="27">
        <v>4</v>
      </c>
      <c r="D11" s="27">
        <v>9</v>
      </c>
      <c r="E11" s="27">
        <v>16</v>
      </c>
      <c r="F11" s="27">
        <v>25</v>
      </c>
      <c r="G11" s="28">
        <v>36</v>
      </c>
    </row>
    <row r="12" spans="1:7" x14ac:dyDescent="0.15">
      <c r="A12" s="23">
        <v>60</v>
      </c>
      <c r="B12" s="31" t="e">
        <f t="shared" ref="B12:G15" si="0">$B3/B3</f>
        <v>#DIV/0!</v>
      </c>
      <c r="C12" s="37" t="e">
        <f t="shared" si="0"/>
        <v>#DIV/0!</v>
      </c>
      <c r="D12" s="37" t="e">
        <f t="shared" si="0"/>
        <v>#DIV/0!</v>
      </c>
      <c r="E12" s="37" t="e">
        <f t="shared" si="0"/>
        <v>#DIV/0!</v>
      </c>
      <c r="F12" s="37" t="e">
        <f t="shared" si="0"/>
        <v>#DIV/0!</v>
      </c>
      <c r="G12" s="38" t="e">
        <f t="shared" si="0"/>
        <v>#DIV/0!</v>
      </c>
    </row>
    <row r="13" spans="1:7" x14ac:dyDescent="0.15">
      <c r="A13" s="24">
        <v>480</v>
      </c>
      <c r="B13" s="32" t="e">
        <f t="shared" si="0"/>
        <v>#DIV/0!</v>
      </c>
      <c r="C13" s="29" t="e">
        <f t="shared" si="0"/>
        <v>#DIV/0!</v>
      </c>
      <c r="D13" s="29" t="e">
        <f t="shared" si="0"/>
        <v>#DIV/0!</v>
      </c>
      <c r="E13" s="29" t="e">
        <f t="shared" si="0"/>
        <v>#DIV/0!</v>
      </c>
      <c r="F13" s="29" t="e">
        <f t="shared" si="0"/>
        <v>#DIV/0!</v>
      </c>
      <c r="G13" s="33" t="e">
        <f t="shared" si="0"/>
        <v>#DIV/0!</v>
      </c>
    </row>
    <row r="14" spans="1:7" x14ac:dyDescent="0.15">
      <c r="A14" s="24">
        <v>1500</v>
      </c>
      <c r="B14" s="32" t="e">
        <f t="shared" si="0"/>
        <v>#DIV/0!</v>
      </c>
      <c r="C14" s="29" t="e">
        <f t="shared" si="0"/>
        <v>#DIV/0!</v>
      </c>
      <c r="D14" s="29" t="e">
        <f t="shared" si="0"/>
        <v>#DIV/0!</v>
      </c>
      <c r="E14" s="29" t="e">
        <f t="shared" si="0"/>
        <v>#DIV/0!</v>
      </c>
      <c r="F14" s="29" t="e">
        <f t="shared" si="0"/>
        <v>#DIV/0!</v>
      </c>
      <c r="G14" s="33" t="e">
        <f t="shared" si="0"/>
        <v>#DIV/0!</v>
      </c>
    </row>
    <row r="15" spans="1:7" x14ac:dyDescent="0.15">
      <c r="A15" s="24">
        <v>3000</v>
      </c>
      <c r="B15" s="32" t="e">
        <f t="shared" si="0"/>
        <v>#DIV/0!</v>
      </c>
      <c r="C15" s="29" t="e">
        <f t="shared" si="0"/>
        <v>#DIV/0!</v>
      </c>
      <c r="D15" s="29" t="e">
        <f t="shared" si="0"/>
        <v>#DIV/0!</v>
      </c>
      <c r="E15" s="29" t="e">
        <f t="shared" si="0"/>
        <v>#DIV/0!</v>
      </c>
      <c r="F15" s="29" t="e">
        <f t="shared" si="0"/>
        <v>#DIV/0!</v>
      </c>
      <c r="G15" s="33" t="e">
        <f t="shared" si="0"/>
        <v>#DIV/0!</v>
      </c>
    </row>
    <row r="16" spans="1:7" x14ac:dyDescent="0.15">
      <c r="A16" s="24">
        <v>4020</v>
      </c>
      <c r="B16" s="32" t="e">
        <f>$B7/B7</f>
        <v>#DIV/0!</v>
      </c>
      <c r="C16" s="29" t="e">
        <f t="shared" ref="C16:G16" si="1">$B7/C7</f>
        <v>#DIV/0!</v>
      </c>
      <c r="D16" s="29" t="e">
        <f t="shared" si="1"/>
        <v>#DIV/0!</v>
      </c>
      <c r="E16" s="29" t="e">
        <f t="shared" si="1"/>
        <v>#DIV/0!</v>
      </c>
      <c r="F16" s="29" t="e">
        <f t="shared" si="1"/>
        <v>#DIV/0!</v>
      </c>
      <c r="G16" s="33" t="e">
        <f t="shared" si="1"/>
        <v>#DIV/0!</v>
      </c>
    </row>
    <row r="17" spans="1:7" ht="14" thickBot="1" x14ac:dyDescent="0.2">
      <c r="A17" s="25">
        <v>6000</v>
      </c>
      <c r="B17" s="34" t="e">
        <f>$B8/B8</f>
        <v>#DIV/0!</v>
      </c>
      <c r="C17" s="35" t="e">
        <f t="shared" ref="C17:G17" si="2">$B8/C8</f>
        <v>#DIV/0!</v>
      </c>
      <c r="D17" s="35" t="e">
        <f t="shared" si="2"/>
        <v>#DIV/0!</v>
      </c>
      <c r="E17" s="35" t="e">
        <f t="shared" si="2"/>
        <v>#DIV/0!</v>
      </c>
      <c r="F17" s="35" t="e">
        <f t="shared" si="2"/>
        <v>#DIV/0!</v>
      </c>
      <c r="G17" s="36" t="e">
        <f t="shared" si="2"/>
        <v>#DIV/0!</v>
      </c>
    </row>
    <row r="19" spans="1:7" ht="14" thickBot="1" x14ac:dyDescent="0.2">
      <c r="A19" s="7" t="s">
        <v>3</v>
      </c>
      <c r="B19" s="8"/>
      <c r="C19" s="8"/>
      <c r="D19" s="8"/>
      <c r="E19" s="8"/>
      <c r="F19" s="8"/>
      <c r="G19" s="8"/>
    </row>
    <row r="20" spans="1:7" ht="14" thickBot="1" x14ac:dyDescent="0.2">
      <c r="A20" s="9" t="s">
        <v>5</v>
      </c>
      <c r="B20" s="26">
        <v>1</v>
      </c>
      <c r="C20" s="27">
        <v>4</v>
      </c>
      <c r="D20" s="27">
        <v>9</v>
      </c>
      <c r="E20" s="27">
        <v>16</v>
      </c>
      <c r="F20" s="27">
        <v>25</v>
      </c>
      <c r="G20" s="28">
        <v>36</v>
      </c>
    </row>
    <row r="21" spans="1:7" x14ac:dyDescent="0.15">
      <c r="A21" s="23">
        <v>60</v>
      </c>
      <c r="B21" s="31" t="e">
        <f t="shared" ref="B21:F26" si="3">B12/B$11</f>
        <v>#DIV/0!</v>
      </c>
      <c r="C21" s="37" t="e">
        <f t="shared" si="3"/>
        <v>#DIV/0!</v>
      </c>
      <c r="D21" s="37" t="e">
        <f t="shared" si="3"/>
        <v>#DIV/0!</v>
      </c>
      <c r="E21" s="37" t="e">
        <f t="shared" si="3"/>
        <v>#DIV/0!</v>
      </c>
      <c r="F21" s="37" t="e">
        <f t="shared" si="3"/>
        <v>#DIV/0!</v>
      </c>
      <c r="G21" s="38" t="e">
        <f t="shared" ref="G21" si="4">G12/G$11</f>
        <v>#DIV/0!</v>
      </c>
    </row>
    <row r="22" spans="1:7" x14ac:dyDescent="0.15">
      <c r="A22" s="24">
        <v>480</v>
      </c>
      <c r="B22" s="32" t="e">
        <f t="shared" si="3"/>
        <v>#DIV/0!</v>
      </c>
      <c r="C22" s="29" t="e">
        <f t="shared" si="3"/>
        <v>#DIV/0!</v>
      </c>
      <c r="D22" s="29" t="e">
        <f t="shared" si="3"/>
        <v>#DIV/0!</v>
      </c>
      <c r="E22" s="29" t="e">
        <f t="shared" si="3"/>
        <v>#DIV/0!</v>
      </c>
      <c r="F22" s="29" t="e">
        <f t="shared" si="3"/>
        <v>#DIV/0!</v>
      </c>
      <c r="G22" s="33" t="e">
        <f t="shared" ref="G22" si="5">G13/G$11</f>
        <v>#DIV/0!</v>
      </c>
    </row>
    <row r="23" spans="1:7" x14ac:dyDescent="0.15">
      <c r="A23" s="24">
        <v>1500</v>
      </c>
      <c r="B23" s="32" t="e">
        <f t="shared" si="3"/>
        <v>#DIV/0!</v>
      </c>
      <c r="C23" s="29" t="e">
        <f t="shared" si="3"/>
        <v>#DIV/0!</v>
      </c>
      <c r="D23" s="29" t="e">
        <f t="shared" si="3"/>
        <v>#DIV/0!</v>
      </c>
      <c r="E23" s="29" t="e">
        <f t="shared" si="3"/>
        <v>#DIV/0!</v>
      </c>
      <c r="F23" s="29" t="e">
        <f t="shared" si="3"/>
        <v>#DIV/0!</v>
      </c>
      <c r="G23" s="33" t="e">
        <f t="shared" ref="G23" si="6">G14/G$11</f>
        <v>#DIV/0!</v>
      </c>
    </row>
    <row r="24" spans="1:7" x14ac:dyDescent="0.15">
      <c r="A24" s="24">
        <v>3000</v>
      </c>
      <c r="B24" s="32" t="e">
        <f t="shared" si="3"/>
        <v>#DIV/0!</v>
      </c>
      <c r="C24" s="29" t="e">
        <f t="shared" si="3"/>
        <v>#DIV/0!</v>
      </c>
      <c r="D24" s="29" t="e">
        <f t="shared" si="3"/>
        <v>#DIV/0!</v>
      </c>
      <c r="E24" s="29" t="e">
        <f t="shared" si="3"/>
        <v>#DIV/0!</v>
      </c>
      <c r="F24" s="29" t="e">
        <f t="shared" si="3"/>
        <v>#DIV/0!</v>
      </c>
      <c r="G24" s="33" t="e">
        <f t="shared" ref="G24" si="7">G15/G$11</f>
        <v>#DIV/0!</v>
      </c>
    </row>
    <row r="25" spans="1:7" x14ac:dyDescent="0.15">
      <c r="A25" s="24">
        <v>4020</v>
      </c>
      <c r="B25" s="32" t="e">
        <f t="shared" si="3"/>
        <v>#DIV/0!</v>
      </c>
      <c r="C25" s="29" t="e">
        <f t="shared" si="3"/>
        <v>#DIV/0!</v>
      </c>
      <c r="D25" s="29" t="e">
        <f t="shared" si="3"/>
        <v>#DIV/0!</v>
      </c>
      <c r="E25" s="29" t="e">
        <f t="shared" si="3"/>
        <v>#DIV/0!</v>
      </c>
      <c r="F25" s="29" t="e">
        <f t="shared" si="3"/>
        <v>#DIV/0!</v>
      </c>
      <c r="G25" s="33" t="e">
        <f t="shared" ref="G25:G26" si="8">G16/G$11</f>
        <v>#DIV/0!</v>
      </c>
    </row>
    <row r="26" spans="1:7" ht="14" thickBot="1" x14ac:dyDescent="0.2">
      <c r="A26" s="25">
        <v>6000</v>
      </c>
      <c r="B26" s="34" t="e">
        <f t="shared" si="3"/>
        <v>#DIV/0!</v>
      </c>
      <c r="C26" s="35" t="e">
        <f t="shared" si="3"/>
        <v>#DIV/0!</v>
      </c>
      <c r="D26" s="35" t="e">
        <f t="shared" si="3"/>
        <v>#DIV/0!</v>
      </c>
      <c r="E26" s="35" t="e">
        <f t="shared" si="3"/>
        <v>#DIV/0!</v>
      </c>
      <c r="F26" s="35" t="e">
        <f t="shared" si="3"/>
        <v>#DIV/0!</v>
      </c>
      <c r="G26" s="36" t="e">
        <f t="shared" si="8"/>
        <v>#DIV/0!</v>
      </c>
    </row>
    <row r="28" spans="1:7" ht="14" thickBot="1" x14ac:dyDescent="0.2">
      <c r="A28" s="5" t="s">
        <v>1</v>
      </c>
      <c r="B28" s="6"/>
      <c r="C28" s="6"/>
      <c r="D28" s="6"/>
      <c r="E28" s="6"/>
      <c r="F28" s="6"/>
      <c r="G28" s="6"/>
    </row>
    <row r="29" spans="1:7" ht="14" thickBot="1" x14ac:dyDescent="0.2">
      <c r="A29" s="39" t="s">
        <v>5</v>
      </c>
      <c r="B29" s="46">
        <v>1</v>
      </c>
      <c r="C29" s="14">
        <v>4</v>
      </c>
      <c r="D29" s="14">
        <v>9</v>
      </c>
      <c r="E29" s="14">
        <v>16</v>
      </c>
      <c r="F29" s="14">
        <v>25</v>
      </c>
      <c r="G29" s="15">
        <v>36</v>
      </c>
    </row>
    <row r="30" spans="1:7" x14ac:dyDescent="0.15">
      <c r="A30" s="23">
        <v>60</v>
      </c>
      <c r="B30" s="47"/>
      <c r="C30" s="44" t="e">
        <f t="shared" ref="C30:G35" si="9">(1/C12-1/C$29)/(1-1/C$29)</f>
        <v>#DIV/0!</v>
      </c>
      <c r="D30" s="44" t="e">
        <f t="shared" si="9"/>
        <v>#DIV/0!</v>
      </c>
      <c r="E30" s="44" t="e">
        <f t="shared" si="9"/>
        <v>#DIV/0!</v>
      </c>
      <c r="F30" s="44" t="e">
        <f t="shared" si="9"/>
        <v>#DIV/0!</v>
      </c>
      <c r="G30" s="45" t="e">
        <f t="shared" si="9"/>
        <v>#DIV/0!</v>
      </c>
    </row>
    <row r="31" spans="1:7" x14ac:dyDescent="0.15">
      <c r="A31" s="24">
        <v>480</v>
      </c>
      <c r="B31" s="48"/>
      <c r="C31" s="30" t="e">
        <f t="shared" si="9"/>
        <v>#DIV/0!</v>
      </c>
      <c r="D31" s="30" t="e">
        <f t="shared" si="9"/>
        <v>#DIV/0!</v>
      </c>
      <c r="E31" s="30" t="e">
        <f t="shared" si="9"/>
        <v>#DIV/0!</v>
      </c>
      <c r="F31" s="29" t="e">
        <f t="shared" si="9"/>
        <v>#DIV/0!</v>
      </c>
      <c r="G31" s="33" t="e">
        <f t="shared" si="9"/>
        <v>#DIV/0!</v>
      </c>
    </row>
    <row r="32" spans="1:7" x14ac:dyDescent="0.15">
      <c r="A32" s="24">
        <v>1500</v>
      </c>
      <c r="B32" s="48"/>
      <c r="C32" s="30" t="e">
        <f t="shared" si="9"/>
        <v>#DIV/0!</v>
      </c>
      <c r="D32" s="30" t="e">
        <f t="shared" si="9"/>
        <v>#DIV/0!</v>
      </c>
      <c r="E32" s="40" t="e">
        <f t="shared" si="9"/>
        <v>#DIV/0!</v>
      </c>
      <c r="F32" s="40" t="e">
        <f t="shared" si="9"/>
        <v>#DIV/0!</v>
      </c>
      <c r="G32" s="41" t="e">
        <f t="shared" si="9"/>
        <v>#DIV/0!</v>
      </c>
    </row>
    <row r="33" spans="1:7" x14ac:dyDescent="0.15">
      <c r="A33" s="24">
        <v>3000</v>
      </c>
      <c r="B33" s="48"/>
      <c r="C33" s="30" t="e">
        <f t="shared" si="9"/>
        <v>#DIV/0!</v>
      </c>
      <c r="D33" s="40" t="e">
        <f t="shared" si="9"/>
        <v>#DIV/0!</v>
      </c>
      <c r="E33" s="40" t="e">
        <f t="shared" si="9"/>
        <v>#DIV/0!</v>
      </c>
      <c r="F33" s="40" t="e">
        <f t="shared" si="9"/>
        <v>#DIV/0!</v>
      </c>
      <c r="G33" s="41" t="e">
        <f t="shared" si="9"/>
        <v>#DIV/0!</v>
      </c>
    </row>
    <row r="34" spans="1:7" x14ac:dyDescent="0.15">
      <c r="A34" s="24">
        <v>4020</v>
      </c>
      <c r="B34" s="49"/>
      <c r="C34" s="40" t="e">
        <f t="shared" si="9"/>
        <v>#DIV/0!</v>
      </c>
      <c r="D34" s="40" t="e">
        <f t="shared" si="9"/>
        <v>#DIV/0!</v>
      </c>
      <c r="E34" s="40" t="e">
        <f t="shared" si="9"/>
        <v>#DIV/0!</v>
      </c>
      <c r="F34" s="40" t="e">
        <f t="shared" si="9"/>
        <v>#DIV/0!</v>
      </c>
      <c r="G34" s="41" t="e">
        <f t="shared" si="9"/>
        <v>#DIV/0!</v>
      </c>
    </row>
    <row r="35" spans="1:7" ht="14" thickBot="1" x14ac:dyDescent="0.2">
      <c r="A35" s="25">
        <v>6000</v>
      </c>
      <c r="B35" s="50"/>
      <c r="C35" s="42" t="e">
        <f t="shared" si="9"/>
        <v>#DIV/0!</v>
      </c>
      <c r="D35" s="42" t="e">
        <f t="shared" si="9"/>
        <v>#DIV/0!</v>
      </c>
      <c r="E35" s="42" t="e">
        <f t="shared" si="9"/>
        <v>#DIV/0!</v>
      </c>
      <c r="F35" s="42" t="e">
        <f t="shared" si="9"/>
        <v>#DIV/0!</v>
      </c>
      <c r="G35" s="43" t="e">
        <f t="shared" si="9"/>
        <v>#DIV/0!</v>
      </c>
    </row>
    <row r="37" spans="1:7" x14ac:dyDescent="0.15">
      <c r="B37" s="2"/>
      <c r="C37" s="4"/>
      <c r="D37" s="4"/>
      <c r="E37" s="3"/>
    </row>
    <row r="38" spans="1:7" x14ac:dyDescent="0.15">
      <c r="A38" s="2"/>
      <c r="B38" s="2"/>
      <c r="C38" s="4"/>
      <c r="D38" s="4"/>
      <c r="E38" s="3"/>
    </row>
    <row r="39" spans="1:7" x14ac:dyDescent="0.15">
      <c r="A39" s="2"/>
      <c r="B39" s="2"/>
      <c r="C39" s="4"/>
      <c r="D39" s="4"/>
      <c r="E39" s="3"/>
    </row>
    <row r="40" spans="1:7" x14ac:dyDescent="0.15">
      <c r="C40" s="3"/>
      <c r="D40" s="3"/>
      <c r="E40" s="3"/>
    </row>
    <row r="44" spans="1:7" x14ac:dyDescent="0.15">
      <c r="B44" s="1"/>
      <c r="C44" s="1"/>
      <c r="D44" s="1"/>
      <c r="E44" s="1"/>
      <c r="F44" s="1"/>
    </row>
    <row r="45" spans="1:7" x14ac:dyDescent="0.15">
      <c r="B45" s="1"/>
      <c r="C45" s="1"/>
      <c r="D45" s="1"/>
      <c r="E45" s="1"/>
      <c r="F45" s="1"/>
    </row>
    <row r="46" spans="1:7" x14ac:dyDescent="0.15">
      <c r="B46" s="1"/>
      <c r="C46" s="1"/>
      <c r="D46" s="1"/>
      <c r="E46" s="1"/>
      <c r="F46" s="1"/>
    </row>
    <row r="47" spans="1:7" x14ac:dyDescent="0.15">
      <c r="B47" s="1"/>
      <c r="C47" s="1"/>
      <c r="D47" s="1"/>
      <c r="E47" s="1"/>
      <c r="F47" s="1"/>
    </row>
    <row r="48" spans="1:7" x14ac:dyDescent="0.15">
      <c r="B48" s="1"/>
      <c r="C48" s="1"/>
      <c r="D48" s="1"/>
      <c r="E48" s="1"/>
      <c r="F48" s="1"/>
    </row>
  </sheetData>
  <phoneticPr fontId="2" type="noConversion"/>
  <pageMargins left="0.75" right="0.75" top="1" bottom="1" header="0.5" footer="0.5"/>
  <pageSetup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7380-36CD-5E43-AAD9-60DF6600AD2F}">
  <dimension ref="A1:C29"/>
  <sheetViews>
    <sheetView zoomScale="150" workbookViewId="0">
      <selection activeCell="B3" sqref="B3:C8"/>
    </sheetView>
  </sheetViews>
  <sheetFormatPr baseColWidth="10" defaultRowHeight="13" x14ac:dyDescent="0.15"/>
  <cols>
    <col min="1" max="1" width="11.33203125" customWidth="1"/>
    <col min="2" max="3" width="19.83203125" customWidth="1"/>
    <col min="4" max="256" width="8.83203125" customWidth="1"/>
  </cols>
  <sheetData>
    <row r="1" spans="1:3" ht="14" thickBot="1" x14ac:dyDescent="0.2">
      <c r="A1" s="7" t="s">
        <v>0</v>
      </c>
      <c r="B1" s="8"/>
      <c r="C1" s="8"/>
    </row>
    <row r="2" spans="1:3" ht="14" thickBot="1" x14ac:dyDescent="0.2">
      <c r="A2" s="51" t="s">
        <v>2</v>
      </c>
      <c r="B2" s="58" t="s">
        <v>6</v>
      </c>
      <c r="C2" s="57" t="s">
        <v>7</v>
      </c>
    </row>
    <row r="3" spans="1:3" x14ac:dyDescent="0.15">
      <c r="A3" s="10">
        <v>60</v>
      </c>
      <c r="B3" s="59"/>
      <c r="C3" s="62"/>
    </row>
    <row r="4" spans="1:3" x14ac:dyDescent="0.15">
      <c r="A4" s="11">
        <v>480</v>
      </c>
      <c r="B4" s="60"/>
      <c r="C4" s="63"/>
    </row>
    <row r="5" spans="1:3" x14ac:dyDescent="0.15">
      <c r="A5" s="11">
        <v>1500</v>
      </c>
      <c r="B5" s="60"/>
      <c r="C5" s="63"/>
    </row>
    <row r="6" spans="1:3" x14ac:dyDescent="0.15">
      <c r="A6" s="11">
        <v>3000</v>
      </c>
      <c r="B6" s="60"/>
      <c r="C6" s="63"/>
    </row>
    <row r="7" spans="1:3" x14ac:dyDescent="0.15">
      <c r="A7" s="11">
        <v>4020</v>
      </c>
      <c r="B7" s="60"/>
      <c r="C7" s="63"/>
    </row>
    <row r="8" spans="1:3" ht="14" thickBot="1" x14ac:dyDescent="0.2">
      <c r="A8" s="12">
        <v>6000</v>
      </c>
      <c r="B8" s="61"/>
      <c r="C8" s="64"/>
    </row>
    <row r="9" spans="1:3" x14ac:dyDescent="0.15">
      <c r="B9" s="2"/>
    </row>
    <row r="10" spans="1:3" ht="14" thickBot="1" x14ac:dyDescent="0.2">
      <c r="A10" s="7" t="s">
        <v>4</v>
      </c>
      <c r="B10" s="8"/>
    </row>
    <row r="11" spans="1:3" ht="14" thickBot="1" x14ac:dyDescent="0.2">
      <c r="A11" s="51" t="s">
        <v>2</v>
      </c>
      <c r="B11" s="57" t="s">
        <v>4</v>
      </c>
      <c r="C11" s="53"/>
    </row>
    <row r="12" spans="1:3" x14ac:dyDescent="0.15">
      <c r="A12" s="10">
        <v>60</v>
      </c>
      <c r="B12" s="56" t="e">
        <f>B3/C3</f>
        <v>#DIV/0!</v>
      </c>
      <c r="C12" s="52"/>
    </row>
    <row r="13" spans="1:3" x14ac:dyDescent="0.15">
      <c r="A13" s="11">
        <v>480</v>
      </c>
      <c r="B13" s="54" t="e">
        <f t="shared" ref="B13:B17" si="0">B4/C4</f>
        <v>#DIV/0!</v>
      </c>
      <c r="C13" s="52"/>
    </row>
    <row r="14" spans="1:3" x14ac:dyDescent="0.15">
      <c r="A14" s="11">
        <v>1500</v>
      </c>
      <c r="B14" s="54" t="e">
        <f t="shared" si="0"/>
        <v>#DIV/0!</v>
      </c>
      <c r="C14" s="52"/>
    </row>
    <row r="15" spans="1:3" x14ac:dyDescent="0.15">
      <c r="A15" s="11">
        <v>3000</v>
      </c>
      <c r="B15" s="54" t="e">
        <f t="shared" si="0"/>
        <v>#DIV/0!</v>
      </c>
      <c r="C15" s="52"/>
    </row>
    <row r="16" spans="1:3" x14ac:dyDescent="0.15">
      <c r="A16" s="11">
        <v>4020</v>
      </c>
      <c r="B16" s="54" t="e">
        <f t="shared" si="0"/>
        <v>#DIV/0!</v>
      </c>
      <c r="C16" s="52"/>
    </row>
    <row r="17" spans="1:3" ht="14" thickBot="1" x14ac:dyDescent="0.2">
      <c r="A17" s="12">
        <v>6000</v>
      </c>
      <c r="B17" s="55" t="e">
        <f t="shared" si="0"/>
        <v>#DIV/0!</v>
      </c>
      <c r="C17" s="52"/>
    </row>
    <row r="19" spans="1:3" x14ac:dyDescent="0.15">
      <c r="A19" s="2"/>
      <c r="B19" s="2"/>
      <c r="C19" s="4"/>
    </row>
    <row r="20" spans="1:3" x14ac:dyDescent="0.15">
      <c r="A20" s="2"/>
      <c r="B20" s="2"/>
      <c r="C20" s="4"/>
    </row>
    <row r="21" spans="1:3" x14ac:dyDescent="0.15">
      <c r="C21" s="3"/>
    </row>
    <row r="25" spans="1:3" x14ac:dyDescent="0.15">
      <c r="B25" s="1"/>
      <c r="C25" s="1"/>
    </row>
    <row r="26" spans="1:3" x14ac:dyDescent="0.15">
      <c r="B26" s="1"/>
      <c r="C26" s="1"/>
    </row>
    <row r="27" spans="1:3" x14ac:dyDescent="0.15">
      <c r="B27" s="1"/>
      <c r="C27" s="1"/>
    </row>
    <row r="28" spans="1:3" x14ac:dyDescent="0.15">
      <c r="B28" s="1"/>
      <c r="C28" s="1"/>
    </row>
    <row r="29" spans="1:3" x14ac:dyDescent="0.15">
      <c r="B29" s="1"/>
      <c r="C29" s="1"/>
    </row>
  </sheetData>
  <pageMargins left="0.75" right="0.75" top="1" bottom="1" header="0.5" footer="0.5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Rowwise-MPI</vt:lpstr>
      <vt:lpstr>Checkerboard-MPI</vt:lpstr>
      <vt:lpstr>CUDA</vt:lpstr>
    </vt:vector>
  </TitlesOfParts>
  <Company>The University of Hong Kong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Dept of CSIS</dc:creator>
  <cp:lastModifiedBy>King Tin Lam (CSD)</cp:lastModifiedBy>
  <dcterms:created xsi:type="dcterms:W3CDTF">2007-03-22T21:00:00Z</dcterms:created>
  <dcterms:modified xsi:type="dcterms:W3CDTF">2025-11-14T08:27:25Z</dcterms:modified>
</cp:coreProperties>
</file>